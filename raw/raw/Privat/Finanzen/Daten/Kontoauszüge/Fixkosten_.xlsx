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Januar" sheetId="2" r:id="rId6"/>
    <sheet name="Februar" sheetId="3" r:id="rId7"/>
    <sheet name="März" sheetId="4" r:id="rId8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<sst xmlns="http://schemas.openxmlformats.org/spreadsheetml/2006/main" uniqueCount="65">
  <si>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</si>
  <si>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</si>
  <si>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</si>
  <si>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</si>
  <si>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Januar</t>
  </si>
  <si>
    <t>Tabelle 1</t>
  </si>
  <si>
    <t>Kategorie</t>
  </si>
  <si>
    <t>Betrag (€)</t>
  </si>
  <si>
    <t>% vom Netto</t>
  </si>
  <si>
    <t>Anteil (€)</t>
  </si>
  <si>
    <t xml:space="preserve">Nettoeinkommen </t>
  </si>
  <si>
    <t xml:space="preserve">Summe </t>
  </si>
  <si>
    <t>Wohnung &amp; Nebenkosten</t>
  </si>
  <si>
    <t>Grundmiete</t>
  </si>
  <si>
    <t>Betriebskosten</t>
  </si>
  <si>
    <t>Heizkosten</t>
  </si>
  <si>
    <t>Internet</t>
  </si>
  <si>
    <t>Rundfunkgebühren (GEZ)</t>
  </si>
  <si>
    <t>Strom</t>
  </si>
  <si>
    <t>Kommunikation</t>
  </si>
  <si>
    <t>Mobilfunk</t>
  </si>
  <si>
    <t>Summe</t>
  </si>
  <si>
    <t>Versicherungen</t>
  </si>
  <si>
    <t>Haftpflichtversicherung</t>
  </si>
  <si>
    <t>Reisekrankenversicherung</t>
  </si>
  <si>
    <t>Zahnzusatzversicherung</t>
  </si>
  <si>
    <t>Heilpraktikerversicherung</t>
  </si>
  <si>
    <t>Rechtschutzversicherung</t>
  </si>
  <si>
    <t>Risikolebensversicherung</t>
  </si>
  <si>
    <t>Hausratversicherung</t>
  </si>
  <si>
    <t>Kredite &amp; Ratenzahlungen</t>
  </si>
  <si>
    <t>Investment Kredit (bis 11/2028)</t>
  </si>
  <si>
    <t>Hyla</t>
  </si>
  <si>
    <t>Dispo</t>
  </si>
  <si>
    <t>Abo's</t>
  </si>
  <si>
    <t>YouTube Premium (6 Personen)</t>
  </si>
  <si>
    <t>Netflix (5 Personen)</t>
  </si>
  <si>
    <t>Apple One (2 Personen)</t>
  </si>
  <si>
    <t>Spotify Family (6 Personen)</t>
  </si>
  <si>
    <t>Splitwise (2 Personen)</t>
  </si>
  <si>
    <t>Google One (4 Personen)</t>
  </si>
  <si>
    <t> €</t>
  </si>
  <si>
    <t>Odin</t>
  </si>
  <si>
    <t>Krankenversicherung</t>
  </si>
  <si>
    <t>Tierhaftpflicht</t>
  </si>
  <si>
    <t>Hundesteuer</t>
  </si>
  <si>
    <t>Futter (geschätzt)</t>
  </si>
  <si>
    <t>Lebenshaltungskosten</t>
  </si>
  <si>
    <t>Einkauf &amp; Freizeit</t>
  </si>
  <si>
    <t>Fitnesstudio</t>
  </si>
  <si>
    <t>Sparen</t>
  </si>
  <si>
    <t>Notfallkonto (20k)</t>
  </si>
  <si>
    <t>Einnahmen von Dritten</t>
  </si>
  <si>
    <t>Laura (Miete, NK, Abos, Odin)</t>
  </si>
  <si>
    <t>Artur (Abos)</t>
  </si>
  <si>
    <t>Natalie (Abos)</t>
  </si>
  <si>
    <t>Oma &amp; Opa</t>
  </si>
  <si>
    <t>Joshi (YouTube)</t>
  </si>
  <si>
    <t>Emilia (Netflix)</t>
  </si>
  <si>
    <t>Caro (Spotify)</t>
  </si>
  <si>
    <t>Nettokosten</t>
  </si>
  <si>
    <t xml:space="preserve">Fixkosten </t>
  </si>
  <si>
    <t>Rest</t>
  </si>
  <si>
    <t>Februar</t>
  </si>
  <si>
    <t>März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</si>
</sst>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&quot; &quot;[$€-2]"/>
  </numFmts>
  <fonts count="11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15"/>
      <name val="Calibri"/>
    </font>
    <font>
      <sz val="11"/>
      <color indexed="11"/>
      <name val="Calibri"/>
    </font>
    <font>
      <b val="1"/>
      <sz val="11"/>
      <color indexed="19"/>
      <name val="Calibri"/>
    </font>
    <font>
      <sz val="11"/>
      <color indexed="19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3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center"/>
    </xf>
    <xf numFmtId="49" fontId="6" fillId="4" borderId="2" applyNumberFormat="1" applyFont="1" applyFill="1" applyBorder="1" applyAlignment="1" applyProtection="0">
      <alignment horizontal="left" vertical="center"/>
    </xf>
    <xf numFmtId="49" fontId="6" fillId="4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6" fillId="5" borderId="6" applyNumberFormat="1" applyFont="1" applyFill="1" applyBorder="1" applyAlignment="1" applyProtection="0">
      <alignment vertical="center"/>
    </xf>
    <xf numFmtId="59" fontId="7" fillId="5" borderId="7" applyNumberFormat="1" applyFont="1" applyFill="1" applyBorder="1" applyAlignment="1" applyProtection="0">
      <alignment vertical="center"/>
    </xf>
    <xf numFmtId="10" fontId="7" fillId="5" borderId="7" applyNumberFormat="1" applyFont="1" applyFill="1" applyBorder="1" applyAlignment="1" applyProtection="0">
      <alignment vertical="center"/>
    </xf>
    <xf numFmtId="59" fontId="0" fillId="5" borderId="8" applyNumberFormat="1" applyFont="1" applyFill="1" applyBorder="1" applyAlignment="1" applyProtection="0">
      <alignment vertical="center"/>
    </xf>
    <xf numFmtId="49" fontId="6" fillId="6" borderId="6" applyNumberFormat="1" applyFont="1" applyFill="1" applyBorder="1" applyAlignment="1" applyProtection="0">
      <alignment vertical="center"/>
    </xf>
    <xf numFmtId="59" fontId="6" fillId="6" borderId="7" applyNumberFormat="1" applyFont="1" applyFill="1" applyBorder="1" applyAlignment="1" applyProtection="0">
      <alignment vertical="center"/>
    </xf>
    <xf numFmtId="10" fontId="6" fillId="6" borderId="7" applyNumberFormat="1" applyFont="1" applyFill="1" applyBorder="1" applyAlignment="1" applyProtection="0">
      <alignment vertical="center"/>
    </xf>
    <xf numFmtId="59" fontId="6" fillId="6" borderId="8" applyNumberFormat="1" applyFont="1" applyFill="1" applyBorder="1" applyAlignment="1" applyProtection="0">
      <alignment vertical="center"/>
    </xf>
    <xf numFmtId="49" fontId="6" fillId="7" borderId="6" applyNumberFormat="1" applyFont="1" applyFill="1" applyBorder="1" applyAlignment="1" applyProtection="0">
      <alignment vertical="center"/>
    </xf>
    <xf numFmtId="59" fontId="6" fillId="7" borderId="7" applyNumberFormat="1" applyFont="1" applyFill="1" applyBorder="1" applyAlignment="1" applyProtection="0">
      <alignment vertical="center"/>
    </xf>
    <xf numFmtId="10" fontId="6" fillId="7" borderId="7" applyNumberFormat="1" applyFont="1" applyFill="1" applyBorder="1" applyAlignment="1" applyProtection="0">
      <alignment vertical="center"/>
    </xf>
    <xf numFmtId="59" fontId="6" fillId="7" borderId="8" applyNumberFormat="1" applyFont="1" applyFill="1" applyBorder="1" applyAlignment="1" applyProtection="0">
      <alignment vertical="center"/>
    </xf>
    <xf numFmtId="49" fontId="0" fillId="8" borderId="6" applyNumberFormat="1" applyFont="1" applyFill="1" applyBorder="1" applyAlignment="1" applyProtection="0">
      <alignment vertical="center"/>
    </xf>
    <xf numFmtId="59" fontId="8" fillId="8" borderId="7" applyNumberFormat="1" applyFont="1" applyFill="1" applyBorder="1" applyAlignment="1" applyProtection="0">
      <alignment vertical="center"/>
    </xf>
    <xf numFmtId="10" fontId="8" fillId="8" borderId="7" applyNumberFormat="1" applyFont="1" applyFill="1" applyBorder="1" applyAlignment="1" applyProtection="0">
      <alignment vertical="center"/>
    </xf>
    <xf numFmtId="59" fontId="8" fillId="8" borderId="8" applyNumberFormat="1" applyFont="1" applyFill="1" applyBorder="1" applyAlignment="1" applyProtection="0">
      <alignment vertical="center"/>
    </xf>
    <xf numFmtId="49" fontId="0" fillId="5" borderId="6" applyNumberFormat="1" applyFont="1" applyFill="1" applyBorder="1" applyAlignment="1" applyProtection="0">
      <alignment vertical="center"/>
    </xf>
    <xf numFmtId="59" fontId="8" fillId="5" borderId="7" applyNumberFormat="1" applyFont="1" applyFill="1" applyBorder="1" applyAlignment="1" applyProtection="0">
      <alignment vertical="center"/>
    </xf>
    <xf numFmtId="10" fontId="8" fillId="5" borderId="7" applyNumberFormat="1" applyFont="1" applyFill="1" applyBorder="1" applyAlignment="1" applyProtection="0">
      <alignment vertical="center"/>
    </xf>
    <xf numFmtId="59" fontId="8" fillId="5" borderId="8" applyNumberFormat="1" applyFont="1" applyFill="1" applyBorder="1" applyAlignment="1" applyProtection="0">
      <alignment vertical="center"/>
    </xf>
    <xf numFmtId="0" fontId="6" borderId="4" applyNumberFormat="0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center"/>
    </xf>
    <xf numFmtId="59" fontId="0" fillId="5" borderId="7" applyNumberFormat="1" applyFont="1" applyFill="1" applyBorder="1" applyAlignment="1" applyProtection="0">
      <alignment vertical="center"/>
    </xf>
    <xf numFmtId="10" fontId="0" fillId="5" borderId="7" applyNumberFormat="1" applyFont="1" applyFill="1" applyBorder="1" applyAlignment="1" applyProtection="0">
      <alignment vertical="center"/>
    </xf>
    <xf numFmtId="0" fontId="6" fillId="5" borderId="6" applyNumberFormat="0" applyFont="1" applyFill="1" applyBorder="1" applyAlignment="1" applyProtection="0">
      <alignment vertical="center"/>
    </xf>
    <xf numFmtId="59" fontId="6" fillId="5" borderId="7" applyNumberFormat="1" applyFont="1" applyFill="1" applyBorder="1" applyAlignment="1" applyProtection="0">
      <alignment vertical="center"/>
    </xf>
    <xf numFmtId="10" fontId="6" fillId="5" borderId="7" applyNumberFormat="1" applyFont="1" applyFill="1" applyBorder="1" applyAlignment="1" applyProtection="0">
      <alignment vertical="center"/>
    </xf>
    <xf numFmtId="59" fontId="6" fillId="5" borderId="8" applyNumberFormat="1" applyFont="1" applyFill="1" applyBorder="1" applyAlignment="1" applyProtection="0">
      <alignment vertical="center"/>
    </xf>
    <xf numFmtId="49" fontId="8" fillId="8" borderId="7" applyNumberFormat="1" applyFont="1" applyFill="1" applyBorder="1" applyAlignment="1" applyProtection="0">
      <alignment vertical="center"/>
    </xf>
    <xf numFmtId="0" fontId="0" fillId="8" borderId="6" applyNumberFormat="0" applyFont="1" applyFill="1" applyBorder="1" applyAlignment="1" applyProtection="0">
      <alignment vertical="center"/>
    </xf>
    <xf numFmtId="59" fontId="0" fillId="8" borderId="7" applyNumberFormat="1" applyFont="1" applyFill="1" applyBorder="1" applyAlignment="1" applyProtection="0">
      <alignment vertical="center"/>
    </xf>
    <xf numFmtId="10" fontId="0" fillId="8" borderId="7" applyNumberFormat="1" applyFont="1" applyFill="1" applyBorder="1" applyAlignment="1" applyProtection="0">
      <alignment vertical="center"/>
    </xf>
    <xf numFmtId="59" fontId="0" fillId="8" borderId="8" applyNumberFormat="1" applyFont="1" applyFill="1" applyBorder="1" applyAlignment="1" applyProtection="0">
      <alignment vertical="center"/>
    </xf>
    <xf numFmtId="49" fontId="9" fillId="9" borderId="6" applyNumberFormat="1" applyFont="1" applyFill="1" applyBorder="1" applyAlignment="1" applyProtection="0">
      <alignment vertical="center"/>
    </xf>
    <xf numFmtId="59" fontId="9" fillId="9" borderId="7" applyNumberFormat="1" applyFont="1" applyFill="1" applyBorder="1" applyAlignment="1" applyProtection="0">
      <alignment vertical="center"/>
    </xf>
    <xf numFmtId="10" fontId="9" fillId="9" borderId="7" applyNumberFormat="1" applyFont="1" applyFill="1" applyBorder="1" applyAlignment="1" applyProtection="0">
      <alignment vertical="center"/>
    </xf>
    <xf numFmtId="59" fontId="9" fillId="9" borderId="8" applyNumberFormat="1" applyFont="1" applyFill="1" applyBorder="1" applyAlignment="1" applyProtection="0">
      <alignment vertical="center"/>
    </xf>
    <xf numFmtId="49" fontId="6" fillId="9" borderId="6" applyNumberFormat="1" applyFont="1" applyFill="1" applyBorder="1" applyAlignment="1" applyProtection="0">
      <alignment vertical="center"/>
    </xf>
    <xf numFmtId="59" fontId="6" fillId="9" borderId="7" applyNumberFormat="1" applyFont="1" applyFill="1" applyBorder="1" applyAlignment="1" applyProtection="0">
      <alignment vertical="center"/>
    </xf>
    <xf numFmtId="10" fontId="0" fillId="9" borderId="7" applyNumberFormat="1" applyFont="1" applyFill="1" applyBorder="1" applyAlignment="1" applyProtection="0">
      <alignment vertical="center"/>
    </xf>
    <xf numFmtId="59" fontId="0" fillId="9" borderId="8" applyNumberFormat="1" applyFont="1" applyFill="1" applyBorder="1" applyAlignment="1" applyProtection="0">
      <alignment vertical="center"/>
    </xf>
    <xf numFmtId="49" fontId="9" fillId="10" borderId="6" applyNumberFormat="1" applyFont="1" applyFill="1" applyBorder="1" applyAlignment="1" applyProtection="0">
      <alignment vertical="center"/>
    </xf>
    <xf numFmtId="59" fontId="9" fillId="10" borderId="7" applyNumberFormat="1" applyFont="1" applyFill="1" applyBorder="1" applyAlignment="1" applyProtection="0">
      <alignment vertical="center"/>
    </xf>
    <xf numFmtId="10" fontId="9" fillId="10" borderId="7" applyNumberFormat="1" applyFont="1" applyFill="1" applyBorder="1" applyAlignment="1" applyProtection="0">
      <alignment vertical="center"/>
    </xf>
    <xf numFmtId="59" fontId="9" fillId="10" borderId="8" applyNumberFormat="1" applyFont="1" applyFill="1" applyBorder="1" applyAlignment="1" applyProtection="0">
      <alignment vertical="center"/>
    </xf>
    <xf numFmtId="59" fontId="10" fillId="10" borderId="8" applyNumberFormat="1" applyFont="1" applyFill="1" applyBorder="1" applyAlignment="1" applyProtection="0">
      <alignment vertical="center"/>
    </xf>
    <xf numFmtId="49" fontId="9" fillId="9" borderId="9" applyNumberFormat="1" applyFont="1" applyFill="1" applyBorder="1" applyAlignment="1" applyProtection="0">
      <alignment vertical="center"/>
    </xf>
    <xf numFmtId="59" fontId="9" fillId="9" borderId="10" applyNumberFormat="1" applyFont="1" applyFill="1" applyBorder="1" applyAlignment="1" applyProtection="0">
      <alignment vertical="center"/>
    </xf>
    <xf numFmtId="10" fontId="9" fillId="9" borderId="10" applyNumberFormat="1" applyFont="1" applyFill="1" applyBorder="1" applyAlignment="1" applyProtection="0">
      <alignment vertical="center"/>
    </xf>
    <xf numFmtId="59" fontId="10" fillId="9" borderId="11" applyNumberFormat="1" applyFont="1" applyFill="1" applyBorder="1" applyAlignment="1" applyProtection="0">
      <alignment vertical="center"/>
    </xf>
    <xf numFmtId="0" fontId="0" borderId="12" applyNumberFormat="0" applyFont="1" applyFill="0" applyBorder="1" applyAlignment="1" applyProtection="0">
      <alignment vertical="bottom"/>
    </xf>
    <xf numFmtId="59" fontId="0" borderId="12" applyNumberFormat="1" applyFont="1" applyFill="0" applyBorder="1" applyAlignment="1" applyProtection="0">
      <alignment vertical="bottom"/>
    </xf>
    <xf numFmtId="59" fontId="0" borderId="5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356854"/>
      <rgbColor rgb="ffaaaaaa"/>
      <rgbColor rgb="ffffffff"/>
      <rgbColor rgb="ff008000"/>
      <rgbColor rgb="fffff2cc"/>
      <rgbColor rgb="ffd9e1f2"/>
      <rgbColor rgb="fff6f8f9"/>
      <rgbColor rgb="ff434343"/>
      <rgbColor rgb="ff93c47d"/>
      <rgbColor rgb="ffe0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63</v>
      </c>
      <c r="C11" s="3"/>
      <c r="D11" s="3"/>
    </row>
    <row r="12">
      <c r="B12" s="4"/>
      <c r="C12" t="s" s="4">
        <v>5</v>
      </c>
      <c r="D12" t="s" s="5">
        <v>63</v>
      </c>
    </row>
    <row r="13">
      <c r="B13" t="s" s="3">
        <v>64</v>
      </c>
      <c r="C13" s="3"/>
      <c r="D13" s="3"/>
    </row>
    <row r="14">
      <c r="B14" s="4"/>
      <c r="C14" t="s" s="4">
        <v>5</v>
      </c>
      <c r="D14" t="s" s="5">
        <v>64</v>
      </c>
    </row>
  </sheetData>
  <mergeCells count="1">
    <mergeCell ref="B3:D3"/>
  </mergeCells>
  <hyperlinks>
    <hyperlink ref="D10" location="'Januar'!R1C1" tooltip="" display="Januar"/>
    <hyperlink ref="D12" location="'Februar'!R1C1" tooltip="" display="Februar"/>
    <hyperlink ref="D14" location="'März'!R1C1" tooltip="" display="März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Z1001"/>
  <sheetViews>
    <sheetView workbookViewId="0" showGridLines="0" defaultGridColor="1"/>
  </sheetViews>
  <sheetFormatPr defaultColWidth="14.5" defaultRowHeight="15" customHeight="1" outlineLevelRow="0" outlineLevelCol="0"/>
  <cols>
    <col min="1" max="1" width="41.5" style="6" customWidth="1"/>
    <col min="2" max="2" width="19.3516" style="6" customWidth="1"/>
    <col min="3" max="3" width="21.8516" style="6" customWidth="1"/>
    <col min="4" max="4" width="14" style="6" customWidth="1"/>
    <col min="5" max="26" width="8.67188" style="6" customWidth="1"/>
    <col min="27" max="16384" width="14.5" style="6" customWidth="1"/>
  </cols>
  <sheetData>
    <row r="1" ht="22.5" customHeight="1">
      <c r="A1" t="s" s="7">
        <v>6</v>
      </c>
      <c r="B1" t="s" s="8">
        <v>7</v>
      </c>
      <c r="C1" t="s" s="8">
        <v>8</v>
      </c>
      <c r="D1" t="s" s="9">
        <v>9</v>
      </c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t="s" s="12">
        <v>10</v>
      </c>
      <c r="B2" s="13">
        <v>7500</v>
      </c>
      <c r="C2" s="14" cm="1">
        <f t="array" ref="C2">B2/B$2</f>
        <v>1</v>
      </c>
      <c r="D2" s="15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t="s" s="16">
        <v>11</v>
      </c>
      <c r="B3" s="17" cm="1">
        <f t="array" ref="B3">SUM(B2)</f>
        <v>7500</v>
      </c>
      <c r="C3" s="18" cm="1">
        <f t="array" ref="C3">B3/B$2</f>
        <v>1</v>
      </c>
      <c r="D3" s="19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t="s" s="20">
        <v>12</v>
      </c>
      <c r="B4" s="21"/>
      <c r="C4" s="22"/>
      <c r="D4" s="23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t="s" s="24">
        <v>13</v>
      </c>
      <c r="B5" s="25">
        <v>716.09</v>
      </c>
      <c r="C5" s="26" cm="1">
        <f t="array" ref="C5">B5/B$2</f>
        <v>0.0954786666666667</v>
      </c>
      <c r="D5" s="27" cm="1">
        <f t="array" ref="D5">B5/2</f>
        <v>358.045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t="s" s="28">
        <v>14</v>
      </c>
      <c r="B6" s="29">
        <v>187</v>
      </c>
      <c r="C6" s="30" cm="1">
        <f t="array" ref="C6">B6/B$2</f>
        <v>0.0249333333333333</v>
      </c>
      <c r="D6" s="31" cm="1">
        <f t="array" ref="D6">B6/2</f>
        <v>93.5</v>
      </c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t="s" s="24">
        <v>15</v>
      </c>
      <c r="B7" s="25">
        <v>84</v>
      </c>
      <c r="C7" s="26" cm="1">
        <f t="array" ref="C7">B7/B$2</f>
        <v>0.0112</v>
      </c>
      <c r="D7" s="27" cm="1">
        <f t="array" ref="D7">B7/2</f>
        <v>42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t="s" s="28">
        <v>16</v>
      </c>
      <c r="B8" s="29">
        <v>29.99</v>
      </c>
      <c r="C8" s="30" cm="1">
        <f t="array" ref="C8">B8/B$2</f>
        <v>0.00399866666666667</v>
      </c>
      <c r="D8" s="31" cm="1">
        <f t="array" ref="D8">B8/2</f>
        <v>14.995</v>
      </c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t="s" s="24">
        <v>17</v>
      </c>
      <c r="B9" s="25">
        <v>18.5</v>
      </c>
      <c r="C9" s="26" cm="1">
        <f t="array" ref="C9">B9/B$2</f>
        <v>0.00246666666666667</v>
      </c>
      <c r="D9" s="27" cm="1">
        <f t="array" ref="D9">B9/2</f>
        <v>9.25</v>
      </c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t="s" s="28">
        <v>18</v>
      </c>
      <c r="B10" s="29">
        <v>79</v>
      </c>
      <c r="C10" s="30" cm="1">
        <f t="array" ref="C10">B10/B$2</f>
        <v>0.0105333333333333</v>
      </c>
      <c r="D10" s="31" cm="1">
        <f t="array" ref="D10">B10/2</f>
        <v>39.5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t="s" s="16">
        <v>11</v>
      </c>
      <c r="B11" s="17" cm="1">
        <f t="array" ref="B11">SUM(B5:B10)</f>
        <v>1114.58</v>
      </c>
      <c r="C11" s="18" cm="1">
        <f t="array" ref="C11">B11/B$2</f>
        <v>0.148610666666667</v>
      </c>
      <c r="D11" s="19" cm="1">
        <f t="array" ref="D11">SUM(D5:D10)</f>
        <v>557.29</v>
      </c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34"/>
      <c r="B12" s="35"/>
      <c r="C12" s="36"/>
      <c r="D12" s="15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2.5" customHeight="1">
      <c r="A13" t="s" s="20">
        <v>19</v>
      </c>
      <c r="B13" s="21"/>
      <c r="C13" s="22"/>
      <c r="D13" s="23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t="s" s="28">
        <v>20</v>
      </c>
      <c r="B14" s="29">
        <v>31.95</v>
      </c>
      <c r="C14" s="30" cm="1">
        <f t="array" ref="C14">B14/B$2</f>
        <v>0.00426</v>
      </c>
      <c r="D14" s="31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t="s" s="16">
        <v>21</v>
      </c>
      <c r="B15" s="17" cm="1">
        <f t="array" ref="B15">SUM(B14)</f>
        <v>31.95</v>
      </c>
      <c r="C15" s="18" cm="1">
        <f t="array" ref="C15">B15/B$2</f>
        <v>0.00426</v>
      </c>
      <c r="D15" s="19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37"/>
      <c r="B16" s="38"/>
      <c r="C16" s="39"/>
      <c r="D16" s="4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t="s" s="20">
        <v>22</v>
      </c>
      <c r="B17" s="21"/>
      <c r="C17" s="22"/>
      <c r="D17" s="23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t="s" s="28">
        <v>23</v>
      </c>
      <c r="B18" s="29">
        <v>5.265</v>
      </c>
      <c r="C18" s="30" cm="1">
        <f t="array" ref="C18">B18/B$2</f>
        <v>0.000702</v>
      </c>
      <c r="D18" s="31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t="s" s="24">
        <v>24</v>
      </c>
      <c r="B19" s="25">
        <v>2.083</v>
      </c>
      <c r="C19" s="26" cm="1">
        <f t="array" ref="C19">B19/B$2</f>
        <v>0.000277733333333333</v>
      </c>
      <c r="D19" s="27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t="s" s="28">
        <v>25</v>
      </c>
      <c r="B20" s="29">
        <v>22.62</v>
      </c>
      <c r="C20" s="30" cm="1">
        <f t="array" ref="C20">B20/B$2</f>
        <v>0.003016</v>
      </c>
      <c r="D20" s="31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t="s" s="24">
        <v>26</v>
      </c>
      <c r="B21" s="25">
        <v>33</v>
      </c>
      <c r="C21" s="26" cm="1">
        <f t="array" ref="C21">B21/B$2</f>
        <v>0.0044</v>
      </c>
      <c r="D21" s="27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t="s" s="28">
        <v>27</v>
      </c>
      <c r="B22" s="29">
        <v>0</v>
      </c>
      <c r="C22" s="30" cm="1">
        <f t="array" ref="C22">B22/B$2</f>
        <v>0</v>
      </c>
      <c r="D22" s="31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t="s" s="24">
        <v>28</v>
      </c>
      <c r="B23" s="25"/>
      <c r="C23" s="26" cm="1">
        <f t="array" ref="C23">B23/B$2</f>
        <v>0</v>
      </c>
      <c r="D23" s="27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t="s" s="28">
        <v>29</v>
      </c>
      <c r="B24" s="29">
        <v>8.92</v>
      </c>
      <c r="C24" s="30" cm="1">
        <f t="array" ref="C24">B24/B$2</f>
        <v>0.00118933333333333</v>
      </c>
      <c r="D24" s="31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t="s" s="16">
        <v>11</v>
      </c>
      <c r="B25" s="17" cm="1">
        <f t="array" ref="B25">SUM(B18:B24)</f>
        <v>71.88800000000001</v>
      </c>
      <c r="C25" s="18" cm="1">
        <f t="array" ref="C25">B25/B$2</f>
        <v>0.00958506666666667</v>
      </c>
      <c r="D25" s="19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4"/>
      <c r="B26" s="35"/>
      <c r="C26" s="36"/>
      <c r="D26" s="15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t="s" s="20">
        <v>30</v>
      </c>
      <c r="B27" s="21"/>
      <c r="C27" s="22"/>
      <c r="D27" s="23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t="s" s="28">
        <v>31</v>
      </c>
      <c r="B28" s="29">
        <v>681.5700000000001</v>
      </c>
      <c r="C28" s="30" cm="1">
        <f t="array" ref="C28">B28/B$2</f>
        <v>0.090876</v>
      </c>
      <c r="D28" s="31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t="s" s="24">
        <v>32</v>
      </c>
      <c r="B29" s="25"/>
      <c r="C29" s="26" cm="1">
        <f t="array" ref="C29">B29/B$2</f>
        <v>0</v>
      </c>
      <c r="D29" s="27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t="s" s="28">
        <v>33</v>
      </c>
      <c r="B30" s="29"/>
      <c r="C30" s="30" cm="1">
        <f t="array" ref="C30">B30/B$2</f>
        <v>0</v>
      </c>
      <c r="D30" s="31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t="s" s="16">
        <v>11</v>
      </c>
      <c r="B31" s="17" cm="1">
        <f t="array" ref="B31">SUM(B28:B30)</f>
        <v>681.5700000000001</v>
      </c>
      <c r="C31" s="18" cm="1">
        <f t="array" ref="C31">B31/B$2</f>
        <v>0.090876</v>
      </c>
      <c r="D31" s="19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4"/>
      <c r="B32" s="35"/>
      <c r="C32" s="36"/>
      <c r="D32" s="15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t="s" s="20">
        <v>34</v>
      </c>
      <c r="B33" s="21"/>
      <c r="C33" s="22"/>
      <c r="D33" s="23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t="s" s="28">
        <v>35</v>
      </c>
      <c r="B34" s="29">
        <v>23.99</v>
      </c>
      <c r="C34" s="30" cm="1">
        <f t="array" ref="C34">B34/B$2</f>
        <v>0.00319866666666667</v>
      </c>
      <c r="D34" s="31" cm="1">
        <f t="array" ref="D34">B34/6</f>
        <v>3.99833333333333</v>
      </c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t="s" s="24">
        <v>36</v>
      </c>
      <c r="B35" s="25">
        <v>17.99</v>
      </c>
      <c r="C35" s="26" cm="1">
        <f t="array" ref="C35">B35/B$2</f>
        <v>0.00239866666666667</v>
      </c>
      <c r="D35" s="27" cm="1">
        <f t="array" ref="D35">B35/5</f>
        <v>3.598</v>
      </c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t="s" s="28">
        <v>37</v>
      </c>
      <c r="B36" s="29">
        <v>16.99</v>
      </c>
      <c r="C36" s="30" cm="1">
        <f t="array" ref="C36">B36/B$2</f>
        <v>0.00226533333333333</v>
      </c>
      <c r="D36" s="31" cm="1">
        <f t="array" ref="D36">B36/2</f>
        <v>8.494999999999999</v>
      </c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t="s" s="24">
        <v>38</v>
      </c>
      <c r="B37" s="25">
        <v>17.99</v>
      </c>
      <c r="C37" s="26" cm="1">
        <f t="array" ref="C37">B37/B$2</f>
        <v>0.00239866666666667</v>
      </c>
      <c r="D37" s="27" cm="1">
        <f t="array" ref="D37">B37/6</f>
        <v>2.99833333333333</v>
      </c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t="s" s="28">
        <v>39</v>
      </c>
      <c r="B38" s="29">
        <v>2.99</v>
      </c>
      <c r="C38" s="30" cm="1">
        <f t="array" ref="C38">B38/B$2</f>
        <v>0.000398666666666667</v>
      </c>
      <c r="D38" s="31" cm="1">
        <f t="array" ref="D38">B38/2</f>
        <v>1.495</v>
      </c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t="s" s="24">
        <v>40</v>
      </c>
      <c r="B39" t="s" s="41">
        <v>41</v>
      </c>
      <c r="C39" s="26" cm="1">
        <f t="array" ref="C39">B39/B$2</f>
      </c>
      <c r="D39" s="27" cm="1">
        <f t="array" ref="D39">B39/4</f>
      </c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t="s" s="16">
        <v>11</v>
      </c>
      <c r="B40" s="17" cm="1">
        <f t="array" ref="B40">SUM(B34:B39)</f>
        <v>79.95</v>
      </c>
      <c r="C40" s="18" cm="1">
        <f t="array" ref="C40">B40/B$2</f>
        <v>0.01066</v>
      </c>
      <c r="D40" s="19" cm="1">
        <f t="array" ref="D40">SUM(D34:D39)</f>
      </c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42"/>
      <c r="B41" s="43"/>
      <c r="C41" s="44"/>
      <c r="D41" s="45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t="s" s="20">
        <v>42</v>
      </c>
      <c r="B42" s="21"/>
      <c r="C42" s="22"/>
      <c r="D42" s="23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t="s" s="24">
        <v>43</v>
      </c>
      <c r="B43" s="25">
        <v>132.48</v>
      </c>
      <c r="C43" s="26" cm="1">
        <f t="array" ref="C43">B43/B$2</f>
        <v>0.017664</v>
      </c>
      <c r="D43" s="27" cm="1">
        <f t="array" ref="D43">B43/2</f>
        <v>66.23999999999999</v>
      </c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t="s" s="28">
        <v>44</v>
      </c>
      <c r="B44" s="29">
        <v>5.28</v>
      </c>
      <c r="C44" s="30" cm="1">
        <f t="array" ref="C44">B44/B$2</f>
        <v>0.000704</v>
      </c>
      <c r="D44" s="31" cm="1">
        <f t="array" ref="D44">B44/2</f>
        <v>2.64</v>
      </c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t="s" s="24">
        <v>45</v>
      </c>
      <c r="B45" s="25">
        <v>10</v>
      </c>
      <c r="C45" s="26" cm="1">
        <f t="array" ref="C45">B45/B$2</f>
        <v>0.00133333333333333</v>
      </c>
      <c r="D45" s="27" cm="1">
        <f t="array" ref="D45">B45/2</f>
        <v>5</v>
      </c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t="s" s="28">
        <v>46</v>
      </c>
      <c r="B46" s="29">
        <v>0</v>
      </c>
      <c r="C46" s="30" cm="1">
        <f t="array" ref="C46">B46/B$2</f>
        <v>0</v>
      </c>
      <c r="D46" s="31" cm="1">
        <f t="array" ref="D46">B46/2</f>
        <v>0</v>
      </c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t="s" s="16">
        <v>11</v>
      </c>
      <c r="B47" s="17" cm="1">
        <f t="array" ref="B47">SUM(B43:B46)</f>
        <v>147.76</v>
      </c>
      <c r="C47" s="18" cm="1">
        <f t="array" ref="C47">B47/B$2</f>
        <v>0.0197013333333333</v>
      </c>
      <c r="D47" s="19" cm="1">
        <f t="array" ref="D47">SUM(D43:D46)</f>
        <v>73.88</v>
      </c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34"/>
      <c r="B48" s="35"/>
      <c r="C48" s="36"/>
      <c r="D48" s="15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t="s" s="20">
        <v>47</v>
      </c>
      <c r="B49" s="21"/>
      <c r="C49" s="22"/>
      <c r="D49" s="23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t="s" s="28">
        <v>48</v>
      </c>
      <c r="B50" s="29">
        <v>500</v>
      </c>
      <c r="C50" s="30" cm="1">
        <f t="array" ref="C50">B50/B$2</f>
        <v>0.06666666666666669</v>
      </c>
      <c r="D50" s="31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t="s" s="24">
        <v>49</v>
      </c>
      <c r="B51" s="25">
        <v>40</v>
      </c>
      <c r="C51" s="26" cm="1">
        <f t="array" ref="C51">B51/B$2</f>
        <v>0.00533333333333333</v>
      </c>
      <c r="D51" s="27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t="s" s="16">
        <v>11</v>
      </c>
      <c r="B52" s="17" cm="1">
        <f t="array" ref="B52">SUM(B50:B51)</f>
        <v>540</v>
      </c>
      <c r="C52" s="18" cm="1">
        <f t="array" ref="C52">B52/B$2</f>
        <v>0.07199999999999999</v>
      </c>
      <c r="D52" s="19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42"/>
      <c r="B53" s="43"/>
      <c r="C53" s="44"/>
      <c r="D53" s="45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t="s" s="20">
        <v>50</v>
      </c>
      <c r="B54" s="21"/>
      <c r="C54" s="22"/>
      <c r="D54" s="23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t="s" s="24">
        <v>51</v>
      </c>
      <c r="B55" s="25">
        <v>0</v>
      </c>
      <c r="C55" s="26" cm="1">
        <f t="array" ref="C55">B55/B$2</f>
        <v>0</v>
      </c>
      <c r="D55" s="27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34"/>
      <c r="B56" s="35"/>
      <c r="C56" s="36"/>
      <c r="D56" s="15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t="s" s="16">
        <v>21</v>
      </c>
      <c r="B57" s="17" cm="1">
        <f t="array" ref="B57">B11+B25+B31+B40+B47+B52+B55</f>
        <v>2635.748</v>
      </c>
      <c r="C57" s="18" cm="1">
        <f t="array" ref="C57">B57/B$2</f>
        <v>0.351433066666667</v>
      </c>
      <c r="D57" s="19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4"/>
      <c r="B58" s="35"/>
      <c r="C58" s="36"/>
      <c r="D58" s="15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t="s" s="46">
        <v>52</v>
      </c>
      <c r="B59" s="47"/>
      <c r="C59" s="48"/>
      <c r="D59" s="49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t="s" s="28">
        <v>53</v>
      </c>
      <c r="B60" s="29" cm="1">
        <f t="array" ref="B60">D5+D6+D7+D8+D9+D10+D34+D35+D36+D37+D38+D39+D43+D44+D45-B29-27.66</f>
      </c>
      <c r="C60" s="36"/>
      <c r="D60" s="15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t="s" s="24">
        <v>54</v>
      </c>
      <c r="B61" s="25" cm="1">
        <f t="array" ref="B61">D34+D35+D37+D39</f>
      </c>
      <c r="C61" s="44"/>
      <c r="D61" s="45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t="s" s="28">
        <v>55</v>
      </c>
      <c r="B62" s="29" cm="1">
        <f t="array" ref="B62">D34+D35+D37+D39</f>
      </c>
      <c r="C62" s="36"/>
      <c r="D62" s="15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t="s" s="24">
        <v>56</v>
      </c>
      <c r="B63" s="25">
        <v>38.34</v>
      </c>
      <c r="C63" s="44"/>
      <c r="D63" s="45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t="s" s="28">
        <v>57</v>
      </c>
      <c r="B64" s="29" cm="1">
        <f t="array" ref="B64">D34</f>
        <v>3.99833333333333</v>
      </c>
      <c r="C64" s="36"/>
      <c r="D64" s="15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t="s" s="24">
        <v>58</v>
      </c>
      <c r="B65" s="25" cm="1">
        <f t="array" ref="B65">D35</f>
        <v>3.598</v>
      </c>
      <c r="C65" s="44"/>
      <c r="D65" s="45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t="s" s="28">
        <v>59</v>
      </c>
      <c r="B66" s="29" cm="1">
        <f t="array" ref="B66">D37</f>
        <v>2.99833333333333</v>
      </c>
      <c r="C66" s="36"/>
      <c r="D66" s="15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t="s" s="50">
        <v>21</v>
      </c>
      <c r="B67" s="51" cm="1">
        <f t="array" ref="B67">SUM(B60:B66)</f>
      </c>
      <c r="C67" s="52"/>
      <c r="D67" s="53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4"/>
      <c r="B68" s="35"/>
      <c r="C68" s="36"/>
      <c r="D68" s="15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2"/>
      <c r="B69" s="43"/>
      <c r="C69" s="44"/>
      <c r="D69" s="45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t="s" s="54">
        <v>60</v>
      </c>
      <c r="B70" s="55"/>
      <c r="C70" s="56"/>
      <c r="D70" s="57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t="s" s="24">
        <v>61</v>
      </c>
      <c r="B71" s="43" cm="1">
        <f t="array" ref="B71">B57</f>
        <v>2635.748</v>
      </c>
      <c r="C71" s="44"/>
      <c r="D71" s="45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t="s" s="28">
        <v>52</v>
      </c>
      <c r="B72" s="13" cm="1">
        <f t="array" ref="B72">-B67</f>
      </c>
      <c r="C72" s="36"/>
      <c r="D72" s="15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t="s" s="54">
        <v>21</v>
      </c>
      <c r="B73" s="55" cm="1">
        <f t="array" ref="B73">B57-B67</f>
      </c>
      <c r="C73" s="56" cm="1">
        <f t="array" ref="C73">B73/B$2</f>
      </c>
      <c r="D73" s="58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34"/>
      <c r="B74" s="35"/>
      <c r="C74" s="36"/>
      <c r="D74" s="15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t="s" s="59">
        <v>62</v>
      </c>
      <c r="B75" s="60" cm="1">
        <f t="array" ref="B75">B$2-B73</f>
      </c>
      <c r="C75" s="61" cm="1">
        <f t="array" ref="C75">B75/B$2</f>
      </c>
      <c r="D75" s="62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63"/>
      <c r="B76" s="64"/>
      <c r="C76" s="63"/>
      <c r="D76" s="64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65"/>
      <c r="C77" s="11"/>
      <c r="D77" s="65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65"/>
      <c r="C78" s="11"/>
      <c r="D78" s="6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65"/>
      <c r="C79" s="11"/>
      <c r="D79" s="65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65"/>
      <c r="C80" s="11"/>
      <c r="D80" s="6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65"/>
      <c r="C81" s="11"/>
      <c r="D81" s="6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65"/>
      <c r="C82" s="11"/>
      <c r="D82" s="6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65"/>
      <c r="C83" s="11"/>
      <c r="D83" s="65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65"/>
      <c r="C84" s="11"/>
      <c r="D84" s="6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65"/>
      <c r="C85" s="11"/>
      <c r="D85" s="65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65"/>
      <c r="C86" s="11"/>
      <c r="D86" s="65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65"/>
      <c r="C87" s="11"/>
      <c r="D87" s="65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65"/>
      <c r="C88" s="11"/>
      <c r="D88" s="6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65"/>
      <c r="C89" s="11"/>
      <c r="D89" s="65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65"/>
      <c r="C90" s="11"/>
      <c r="D90" s="65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65"/>
      <c r="C91" s="11"/>
      <c r="D91" s="65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65"/>
      <c r="C92" s="11"/>
      <c r="D92" s="6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65"/>
      <c r="C93" s="11"/>
      <c r="D93" s="6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65"/>
      <c r="C94" s="11"/>
      <c r="D94" s="6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65"/>
      <c r="C95" s="11"/>
      <c r="D95" s="6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65"/>
      <c r="C96" s="11"/>
      <c r="D96" s="6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65"/>
      <c r="C97" s="11"/>
      <c r="D97" s="6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65"/>
      <c r="C98" s="11"/>
      <c r="D98" s="65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65"/>
      <c r="C99" s="11"/>
      <c r="D99" s="65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65"/>
      <c r="C100" s="11"/>
      <c r="D100" s="6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65"/>
      <c r="C101" s="11"/>
      <c r="D101" s="6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65"/>
      <c r="C102" s="11"/>
      <c r="D102" s="6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65"/>
      <c r="C103" s="11"/>
      <c r="D103" s="65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65"/>
      <c r="C104" s="11"/>
      <c r="D104" s="6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65"/>
      <c r="C105" s="11"/>
      <c r="D105" s="65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65"/>
      <c r="C106" s="11"/>
      <c r="D106" s="65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65"/>
      <c r="C107" s="11"/>
      <c r="D107" s="65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65"/>
      <c r="C108" s="11"/>
      <c r="D108" s="6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65"/>
      <c r="C109" s="11"/>
      <c r="D109" s="65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65"/>
      <c r="C110" s="11"/>
      <c r="D110" s="6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65"/>
      <c r="C111" s="11"/>
      <c r="D111" s="6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65"/>
      <c r="C112" s="11"/>
      <c r="D112" s="6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65"/>
      <c r="C113" s="11"/>
      <c r="D113" s="65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65"/>
      <c r="C114" s="11"/>
      <c r="D114" s="6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65"/>
      <c r="C115" s="11"/>
      <c r="D115" s="6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65"/>
      <c r="C116" s="11"/>
      <c r="D116" s="6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65"/>
      <c r="C117" s="11"/>
      <c r="D117" s="65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65"/>
      <c r="C118" s="11"/>
      <c r="D118" s="65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65"/>
      <c r="C119" s="11"/>
      <c r="D119" s="65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65"/>
      <c r="C120" s="11"/>
      <c r="D120" s="6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65"/>
      <c r="C121" s="11"/>
      <c r="D121" s="65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65"/>
      <c r="C122" s="11"/>
      <c r="D122" s="65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65"/>
      <c r="C123" s="11"/>
      <c r="D123" s="65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65"/>
      <c r="C124" s="11"/>
      <c r="D124" s="6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65"/>
      <c r="C125" s="11"/>
      <c r="D125" s="65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65"/>
      <c r="C126" s="11"/>
      <c r="D126" s="65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65"/>
      <c r="C127" s="11"/>
      <c r="D127" s="6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65"/>
      <c r="C128" s="11"/>
      <c r="D128" s="6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65"/>
      <c r="C129" s="11"/>
      <c r="D129" s="6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65"/>
      <c r="C130" s="11"/>
      <c r="D130" s="6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65"/>
      <c r="C131" s="11"/>
      <c r="D131" s="6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65"/>
      <c r="C132" s="11"/>
      <c r="D132" s="6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65"/>
      <c r="C133" s="11"/>
      <c r="D133" s="6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65"/>
      <c r="C134" s="11"/>
      <c r="D134" s="6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65"/>
      <c r="C135" s="11"/>
      <c r="D135" s="6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65"/>
      <c r="C136" s="11"/>
      <c r="D136" s="6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65"/>
      <c r="C137" s="11"/>
      <c r="D137" s="6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65"/>
      <c r="C138" s="11"/>
      <c r="D138" s="6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65"/>
      <c r="C139" s="11"/>
      <c r="D139" s="6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65"/>
      <c r="C140" s="11"/>
      <c r="D140" s="6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65"/>
      <c r="C141" s="11"/>
      <c r="D141" s="6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65"/>
      <c r="C142" s="11"/>
      <c r="D142" s="6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65"/>
      <c r="C143" s="11"/>
      <c r="D143" s="6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65"/>
      <c r="C144" s="11"/>
      <c r="D144" s="6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65"/>
      <c r="C145" s="11"/>
      <c r="D145" s="6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65"/>
      <c r="C146" s="11"/>
      <c r="D146" s="6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65"/>
      <c r="C147" s="11"/>
      <c r="D147" s="6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65"/>
      <c r="C148" s="11"/>
      <c r="D148" s="6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65"/>
      <c r="C149" s="11"/>
      <c r="D149" s="6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65"/>
      <c r="C150" s="11"/>
      <c r="D150" s="6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65"/>
      <c r="C151" s="11"/>
      <c r="D151" s="6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65"/>
      <c r="C152" s="11"/>
      <c r="D152" s="6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65"/>
      <c r="C153" s="11"/>
      <c r="D153" s="6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65"/>
      <c r="C154" s="11"/>
      <c r="D154" s="6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65"/>
      <c r="C155" s="11"/>
      <c r="D155" s="6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65"/>
      <c r="C156" s="11"/>
      <c r="D156" s="6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65"/>
      <c r="C157" s="11"/>
      <c r="D157" s="6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65"/>
      <c r="C158" s="11"/>
      <c r="D158" s="6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65"/>
      <c r="C159" s="11"/>
      <c r="D159" s="6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65"/>
      <c r="C160" s="11"/>
      <c r="D160" s="6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65"/>
      <c r="C161" s="11"/>
      <c r="D161" s="6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65"/>
      <c r="C162" s="11"/>
      <c r="D162" s="6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65"/>
      <c r="C163" s="11"/>
      <c r="D163" s="6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65"/>
      <c r="C164" s="11"/>
      <c r="D164" s="6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65"/>
      <c r="C165" s="11"/>
      <c r="D165" s="6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65"/>
      <c r="C166" s="11"/>
      <c r="D166" s="6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65"/>
      <c r="C167" s="11"/>
      <c r="D167" s="6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65"/>
      <c r="C168" s="11"/>
      <c r="D168" s="6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65"/>
      <c r="C169" s="11"/>
      <c r="D169" s="6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65"/>
      <c r="C170" s="11"/>
      <c r="D170" s="6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65"/>
      <c r="C171" s="11"/>
      <c r="D171" s="6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65"/>
      <c r="C172" s="11"/>
      <c r="D172" s="6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65"/>
      <c r="C173" s="11"/>
      <c r="D173" s="6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65"/>
      <c r="C174" s="11"/>
      <c r="D174" s="6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65"/>
      <c r="C175" s="11"/>
      <c r="D175" s="6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65"/>
      <c r="C176" s="11"/>
      <c r="D176" s="6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65"/>
      <c r="C177" s="11"/>
      <c r="D177" s="6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65"/>
      <c r="C178" s="11"/>
      <c r="D178" s="6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65"/>
      <c r="C179" s="11"/>
      <c r="D179" s="6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65"/>
      <c r="C180" s="11"/>
      <c r="D180" s="6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65"/>
      <c r="C181" s="11"/>
      <c r="D181" s="6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65"/>
      <c r="C182" s="11"/>
      <c r="D182" s="6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65"/>
      <c r="C183" s="11"/>
      <c r="D183" s="6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65"/>
      <c r="C184" s="11"/>
      <c r="D184" s="6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65"/>
      <c r="C185" s="11"/>
      <c r="D185" s="6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65"/>
      <c r="C186" s="11"/>
      <c r="D186" s="6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65"/>
      <c r="C187" s="11"/>
      <c r="D187" s="6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65"/>
      <c r="C188" s="11"/>
      <c r="D188" s="6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65"/>
      <c r="C189" s="11"/>
      <c r="D189" s="6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65"/>
      <c r="C190" s="11"/>
      <c r="D190" s="6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65"/>
      <c r="C191" s="11"/>
      <c r="D191" s="6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65"/>
      <c r="C192" s="11"/>
      <c r="D192" s="6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65"/>
      <c r="C193" s="11"/>
      <c r="D193" s="6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65"/>
      <c r="C194" s="11"/>
      <c r="D194" s="6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65"/>
      <c r="C195" s="11"/>
      <c r="D195" s="6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65"/>
      <c r="C196" s="11"/>
      <c r="D196" s="6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65"/>
      <c r="C197" s="11"/>
      <c r="D197" s="6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65"/>
      <c r="C198" s="11"/>
      <c r="D198" s="6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65"/>
      <c r="C199" s="11"/>
      <c r="D199" s="6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65"/>
      <c r="C200" s="11"/>
      <c r="D200" s="6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65"/>
      <c r="C201" s="11"/>
      <c r="D201" s="6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65"/>
      <c r="C202" s="11"/>
      <c r="D202" s="6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65"/>
      <c r="C203" s="11"/>
      <c r="D203" s="6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65"/>
      <c r="C204" s="11"/>
      <c r="D204" s="6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65"/>
      <c r="C205" s="11"/>
      <c r="D205" s="6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65"/>
      <c r="C206" s="11"/>
      <c r="D206" s="6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65"/>
      <c r="C207" s="11"/>
      <c r="D207" s="6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65"/>
      <c r="C208" s="11"/>
      <c r="D208" s="6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65"/>
      <c r="C209" s="11"/>
      <c r="D209" s="6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65"/>
      <c r="C210" s="11"/>
      <c r="D210" s="6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65"/>
      <c r="C211" s="11"/>
      <c r="D211" s="6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65"/>
      <c r="C212" s="11"/>
      <c r="D212" s="6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65"/>
      <c r="C213" s="11"/>
      <c r="D213" s="6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65"/>
      <c r="C214" s="11"/>
      <c r="D214" s="6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65"/>
      <c r="C215" s="11"/>
      <c r="D215" s="6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65"/>
      <c r="C216" s="11"/>
      <c r="D216" s="6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65"/>
      <c r="C217" s="11"/>
      <c r="D217" s="6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65"/>
      <c r="C218" s="11"/>
      <c r="D218" s="6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65"/>
      <c r="C219" s="11"/>
      <c r="D219" s="6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65"/>
      <c r="C220" s="11"/>
      <c r="D220" s="6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65"/>
      <c r="C221" s="11"/>
      <c r="D221" s="6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65"/>
      <c r="C222" s="11"/>
      <c r="D222" s="6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65"/>
      <c r="C223" s="11"/>
      <c r="D223" s="6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65"/>
      <c r="C224" s="11"/>
      <c r="D224" s="6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65"/>
      <c r="C225" s="11"/>
      <c r="D225" s="6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65"/>
      <c r="C226" s="11"/>
      <c r="D226" s="6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65"/>
      <c r="C227" s="11"/>
      <c r="D227" s="6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65"/>
      <c r="C228" s="11"/>
      <c r="D228" s="6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65"/>
      <c r="C229" s="11"/>
      <c r="D229" s="6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65"/>
      <c r="C230" s="11"/>
      <c r="D230" s="6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65"/>
      <c r="C231" s="11"/>
      <c r="D231" s="6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65"/>
      <c r="C232" s="11"/>
      <c r="D232" s="6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65"/>
      <c r="C233" s="11"/>
      <c r="D233" s="6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65"/>
      <c r="C234" s="11"/>
      <c r="D234" s="6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65"/>
      <c r="C235" s="11"/>
      <c r="D235" s="6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65"/>
      <c r="C236" s="11"/>
      <c r="D236" s="6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65"/>
      <c r="C237" s="11"/>
      <c r="D237" s="6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65"/>
      <c r="C238" s="11"/>
      <c r="D238" s="6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65"/>
      <c r="C239" s="11"/>
      <c r="D239" s="6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65"/>
      <c r="C240" s="11"/>
      <c r="D240" s="6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65"/>
      <c r="C241" s="11"/>
      <c r="D241" s="6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65"/>
      <c r="C242" s="11"/>
      <c r="D242" s="6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65"/>
      <c r="C243" s="11"/>
      <c r="D243" s="6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65"/>
      <c r="C244" s="11"/>
      <c r="D244" s="6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65"/>
      <c r="C245" s="11"/>
      <c r="D245" s="6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65"/>
      <c r="C246" s="11"/>
      <c r="D246" s="6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65"/>
      <c r="C247" s="11"/>
      <c r="D247" s="6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65"/>
      <c r="C248" s="11"/>
      <c r="D248" s="6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65"/>
      <c r="C249" s="11"/>
      <c r="D249" s="6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65"/>
      <c r="C250" s="11"/>
      <c r="D250" s="6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65"/>
      <c r="C251" s="11"/>
      <c r="D251" s="6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65"/>
      <c r="C252" s="11"/>
      <c r="D252" s="6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65"/>
      <c r="C253" s="11"/>
      <c r="D253" s="6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65"/>
      <c r="C254" s="11"/>
      <c r="D254" s="6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65"/>
      <c r="C255" s="11"/>
      <c r="D255" s="6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65"/>
      <c r="C256" s="11"/>
      <c r="D256" s="6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65"/>
      <c r="C257" s="11"/>
      <c r="D257" s="6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65"/>
      <c r="C258" s="11"/>
      <c r="D258" s="6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65"/>
      <c r="C259" s="11"/>
      <c r="D259" s="6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65"/>
      <c r="C260" s="11"/>
      <c r="D260" s="6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65"/>
      <c r="C261" s="11"/>
      <c r="D261" s="6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65"/>
      <c r="C262" s="11"/>
      <c r="D262" s="6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65"/>
      <c r="C263" s="11"/>
      <c r="D263" s="6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65"/>
      <c r="C264" s="11"/>
      <c r="D264" s="6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65"/>
      <c r="C265" s="11"/>
      <c r="D265" s="6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65"/>
      <c r="C266" s="11"/>
      <c r="D266" s="6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65"/>
      <c r="C267" s="11"/>
      <c r="D267" s="6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65"/>
      <c r="C268" s="11"/>
      <c r="D268" s="6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65"/>
      <c r="C269" s="11"/>
      <c r="D269" s="6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65"/>
      <c r="C270" s="11"/>
      <c r="D270" s="6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65"/>
      <c r="C271" s="11"/>
      <c r="D271" s="6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65"/>
      <c r="C272" s="11"/>
      <c r="D272" s="6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65"/>
      <c r="C273" s="11"/>
      <c r="D273" s="6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65"/>
      <c r="C274" s="11"/>
      <c r="D274" s="6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65"/>
      <c r="C275" s="11"/>
      <c r="D275" s="6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65"/>
      <c r="C276" s="11"/>
      <c r="D276" s="6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65"/>
      <c r="C277" s="11"/>
      <c r="D277" s="6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65"/>
      <c r="C278" s="11"/>
      <c r="D278" s="6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65"/>
      <c r="C279" s="11"/>
      <c r="D279" s="6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65"/>
      <c r="C280" s="11"/>
      <c r="D280" s="6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65"/>
      <c r="C281" s="11"/>
      <c r="D281" s="6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65"/>
      <c r="C282" s="11"/>
      <c r="D282" s="6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65"/>
      <c r="C283" s="11"/>
      <c r="D283" s="6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65"/>
      <c r="C284" s="11"/>
      <c r="D284" s="6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65"/>
      <c r="C285" s="11"/>
      <c r="D285" s="6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65"/>
      <c r="C286" s="11"/>
      <c r="D286" s="6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65"/>
      <c r="C287" s="11"/>
      <c r="D287" s="6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65"/>
      <c r="C288" s="11"/>
      <c r="D288" s="6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65"/>
      <c r="C289" s="11"/>
      <c r="D289" s="6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65"/>
      <c r="C290" s="11"/>
      <c r="D290" s="6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65"/>
      <c r="C291" s="11"/>
      <c r="D291" s="6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65"/>
      <c r="C292" s="11"/>
      <c r="D292" s="6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65"/>
      <c r="C293" s="11"/>
      <c r="D293" s="6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65"/>
      <c r="C294" s="11"/>
      <c r="D294" s="6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65"/>
      <c r="C295" s="11"/>
      <c r="D295" s="6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65"/>
      <c r="C296" s="11"/>
      <c r="D296" s="6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65"/>
      <c r="C297" s="11"/>
      <c r="D297" s="6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65"/>
      <c r="C298" s="11"/>
      <c r="D298" s="6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65"/>
      <c r="C299" s="11"/>
      <c r="D299" s="6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65"/>
      <c r="C300" s="11"/>
      <c r="D300" s="6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65"/>
      <c r="C301" s="11"/>
      <c r="D301" s="6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65"/>
      <c r="C302" s="11"/>
      <c r="D302" s="6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65"/>
      <c r="C303" s="11"/>
      <c r="D303" s="6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65"/>
      <c r="C304" s="11"/>
      <c r="D304" s="6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65"/>
      <c r="C305" s="11"/>
      <c r="D305" s="6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65"/>
      <c r="C306" s="11"/>
      <c r="D306" s="6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65"/>
      <c r="C307" s="11"/>
      <c r="D307" s="6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65"/>
      <c r="C308" s="11"/>
      <c r="D308" s="6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65"/>
      <c r="C309" s="11"/>
      <c r="D309" s="6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65"/>
      <c r="C310" s="11"/>
      <c r="D310" s="6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65"/>
      <c r="C311" s="11"/>
      <c r="D311" s="6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65"/>
      <c r="C312" s="11"/>
      <c r="D312" s="6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65"/>
      <c r="C313" s="11"/>
      <c r="D313" s="6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65"/>
      <c r="C314" s="11"/>
      <c r="D314" s="6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65"/>
      <c r="C315" s="11"/>
      <c r="D315" s="6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65"/>
      <c r="C316" s="11"/>
      <c r="D316" s="6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65"/>
      <c r="C317" s="11"/>
      <c r="D317" s="6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65"/>
      <c r="C318" s="11"/>
      <c r="D318" s="6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65"/>
      <c r="C319" s="11"/>
      <c r="D319" s="6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65"/>
      <c r="C320" s="11"/>
      <c r="D320" s="6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65"/>
      <c r="C321" s="11"/>
      <c r="D321" s="6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65"/>
      <c r="C322" s="11"/>
      <c r="D322" s="6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65"/>
      <c r="C323" s="11"/>
      <c r="D323" s="6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65"/>
      <c r="C324" s="11"/>
      <c r="D324" s="6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65"/>
      <c r="C325" s="11"/>
      <c r="D325" s="6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65"/>
      <c r="C326" s="11"/>
      <c r="D326" s="6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65"/>
      <c r="C327" s="11"/>
      <c r="D327" s="6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65"/>
      <c r="C328" s="11"/>
      <c r="D328" s="6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65"/>
      <c r="C329" s="11"/>
      <c r="D329" s="6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65"/>
      <c r="C330" s="11"/>
      <c r="D330" s="6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65"/>
      <c r="C331" s="11"/>
      <c r="D331" s="6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65"/>
      <c r="C332" s="11"/>
      <c r="D332" s="6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65"/>
      <c r="C333" s="11"/>
      <c r="D333" s="6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65"/>
      <c r="C334" s="11"/>
      <c r="D334" s="6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65"/>
      <c r="C335" s="11"/>
      <c r="D335" s="6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65"/>
      <c r="C336" s="11"/>
      <c r="D336" s="6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65"/>
      <c r="C337" s="11"/>
      <c r="D337" s="6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65"/>
      <c r="C338" s="11"/>
      <c r="D338" s="6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65"/>
      <c r="C339" s="11"/>
      <c r="D339" s="6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65"/>
      <c r="C340" s="11"/>
      <c r="D340" s="6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65"/>
      <c r="C341" s="11"/>
      <c r="D341" s="6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65"/>
      <c r="C342" s="11"/>
      <c r="D342" s="6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65"/>
      <c r="C343" s="11"/>
      <c r="D343" s="6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65"/>
      <c r="C344" s="11"/>
      <c r="D344" s="6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65"/>
      <c r="C345" s="11"/>
      <c r="D345" s="6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65"/>
      <c r="C346" s="11"/>
      <c r="D346" s="6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65"/>
      <c r="C347" s="11"/>
      <c r="D347" s="6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65"/>
      <c r="C348" s="11"/>
      <c r="D348" s="6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65"/>
      <c r="C349" s="11"/>
      <c r="D349" s="6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65"/>
      <c r="C350" s="11"/>
      <c r="D350" s="6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65"/>
      <c r="C351" s="11"/>
      <c r="D351" s="6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65"/>
      <c r="C352" s="11"/>
      <c r="D352" s="6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65"/>
      <c r="C353" s="11"/>
      <c r="D353" s="6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65"/>
      <c r="C354" s="11"/>
      <c r="D354" s="6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65"/>
      <c r="C355" s="11"/>
      <c r="D355" s="6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65"/>
      <c r="C356" s="11"/>
      <c r="D356" s="6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65"/>
      <c r="C357" s="11"/>
      <c r="D357" s="6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65"/>
      <c r="C358" s="11"/>
      <c r="D358" s="6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65"/>
      <c r="C359" s="11"/>
      <c r="D359" s="6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65"/>
      <c r="C360" s="11"/>
      <c r="D360" s="6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65"/>
      <c r="C361" s="11"/>
      <c r="D361" s="6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65"/>
      <c r="C362" s="11"/>
      <c r="D362" s="6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65"/>
      <c r="C363" s="11"/>
      <c r="D363" s="6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65"/>
      <c r="C364" s="11"/>
      <c r="D364" s="6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65"/>
      <c r="C365" s="11"/>
      <c r="D365" s="6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65"/>
      <c r="C366" s="11"/>
      <c r="D366" s="6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65"/>
      <c r="C367" s="11"/>
      <c r="D367" s="6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65"/>
      <c r="C368" s="11"/>
      <c r="D368" s="6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65"/>
      <c r="C369" s="11"/>
      <c r="D369" s="6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65"/>
      <c r="C370" s="11"/>
      <c r="D370" s="6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65"/>
      <c r="C371" s="11"/>
      <c r="D371" s="6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65"/>
      <c r="C372" s="11"/>
      <c r="D372" s="6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65"/>
      <c r="C373" s="11"/>
      <c r="D373" s="6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65"/>
      <c r="C374" s="11"/>
      <c r="D374" s="6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65"/>
      <c r="C375" s="11"/>
      <c r="D375" s="6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65"/>
      <c r="C376" s="11"/>
      <c r="D376" s="6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65"/>
      <c r="C377" s="11"/>
      <c r="D377" s="6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65"/>
      <c r="C378" s="11"/>
      <c r="D378" s="6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65"/>
      <c r="C379" s="11"/>
      <c r="D379" s="6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65"/>
      <c r="C380" s="11"/>
      <c r="D380" s="6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65"/>
      <c r="C381" s="11"/>
      <c r="D381" s="6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65"/>
      <c r="C382" s="11"/>
      <c r="D382" s="6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65"/>
      <c r="C383" s="11"/>
      <c r="D383" s="6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65"/>
      <c r="C384" s="11"/>
      <c r="D384" s="6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65"/>
      <c r="C385" s="11"/>
      <c r="D385" s="6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65"/>
      <c r="C386" s="11"/>
      <c r="D386" s="6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65"/>
      <c r="C387" s="11"/>
      <c r="D387" s="6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65"/>
      <c r="C388" s="11"/>
      <c r="D388" s="6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65"/>
      <c r="C389" s="11"/>
      <c r="D389" s="6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65"/>
      <c r="C390" s="11"/>
      <c r="D390" s="6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65"/>
      <c r="C391" s="11"/>
      <c r="D391" s="6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65"/>
      <c r="C392" s="11"/>
      <c r="D392" s="6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65"/>
      <c r="C393" s="11"/>
      <c r="D393" s="6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65"/>
      <c r="C394" s="11"/>
      <c r="D394" s="6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65"/>
      <c r="C395" s="11"/>
      <c r="D395" s="6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65"/>
      <c r="C396" s="11"/>
      <c r="D396" s="6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65"/>
      <c r="C397" s="11"/>
      <c r="D397" s="6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65"/>
      <c r="C398" s="11"/>
      <c r="D398" s="6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65"/>
      <c r="C399" s="11"/>
      <c r="D399" s="6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65"/>
      <c r="C400" s="11"/>
      <c r="D400" s="6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65"/>
      <c r="C401" s="11"/>
      <c r="D401" s="6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65"/>
      <c r="C402" s="11"/>
      <c r="D402" s="6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65"/>
      <c r="C403" s="11"/>
      <c r="D403" s="6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65"/>
      <c r="C404" s="11"/>
      <c r="D404" s="6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65"/>
      <c r="C405" s="11"/>
      <c r="D405" s="6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65"/>
      <c r="C406" s="11"/>
      <c r="D406" s="6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65"/>
      <c r="C407" s="11"/>
      <c r="D407" s="6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65"/>
      <c r="C408" s="11"/>
      <c r="D408" s="6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65"/>
      <c r="C409" s="11"/>
      <c r="D409" s="6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65"/>
      <c r="C410" s="11"/>
      <c r="D410" s="6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65"/>
      <c r="C411" s="11"/>
      <c r="D411" s="6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65"/>
      <c r="C412" s="11"/>
      <c r="D412" s="6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65"/>
      <c r="C413" s="11"/>
      <c r="D413" s="6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65"/>
      <c r="C414" s="11"/>
      <c r="D414" s="6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65"/>
      <c r="C415" s="11"/>
      <c r="D415" s="6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65"/>
      <c r="C416" s="11"/>
      <c r="D416" s="6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65"/>
      <c r="C417" s="11"/>
      <c r="D417" s="6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65"/>
      <c r="C418" s="11"/>
      <c r="D418" s="6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65"/>
      <c r="C419" s="11"/>
      <c r="D419" s="6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65"/>
      <c r="C420" s="11"/>
      <c r="D420" s="6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65"/>
      <c r="C421" s="11"/>
      <c r="D421" s="6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65"/>
      <c r="C422" s="11"/>
      <c r="D422" s="6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65"/>
      <c r="C423" s="11"/>
      <c r="D423" s="6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65"/>
      <c r="C424" s="11"/>
      <c r="D424" s="6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65"/>
      <c r="C425" s="11"/>
      <c r="D425" s="6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65"/>
      <c r="C426" s="11"/>
      <c r="D426" s="6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65"/>
      <c r="C427" s="11"/>
      <c r="D427" s="6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65"/>
      <c r="C428" s="11"/>
      <c r="D428" s="6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65"/>
      <c r="C429" s="11"/>
      <c r="D429" s="6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65"/>
      <c r="C430" s="11"/>
      <c r="D430" s="6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65"/>
      <c r="C431" s="11"/>
      <c r="D431" s="6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65"/>
      <c r="C432" s="11"/>
      <c r="D432" s="6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65"/>
      <c r="C433" s="11"/>
      <c r="D433" s="6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65"/>
      <c r="C434" s="11"/>
      <c r="D434" s="6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65"/>
      <c r="C435" s="11"/>
      <c r="D435" s="6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65"/>
      <c r="C436" s="11"/>
      <c r="D436" s="6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65"/>
      <c r="C437" s="11"/>
      <c r="D437" s="6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65"/>
      <c r="C438" s="11"/>
      <c r="D438" s="6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65"/>
      <c r="C439" s="11"/>
      <c r="D439" s="6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65"/>
      <c r="C440" s="11"/>
      <c r="D440" s="6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65"/>
      <c r="C441" s="11"/>
      <c r="D441" s="6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65"/>
      <c r="C442" s="11"/>
      <c r="D442" s="6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65"/>
      <c r="C443" s="11"/>
      <c r="D443" s="6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65"/>
      <c r="C444" s="11"/>
      <c r="D444" s="6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65"/>
      <c r="C445" s="11"/>
      <c r="D445" s="6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65"/>
      <c r="C446" s="11"/>
      <c r="D446" s="6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65"/>
      <c r="C447" s="11"/>
      <c r="D447" s="6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65"/>
      <c r="C448" s="11"/>
      <c r="D448" s="6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65"/>
      <c r="C449" s="11"/>
      <c r="D449" s="6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65"/>
      <c r="C450" s="11"/>
      <c r="D450" s="6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65"/>
      <c r="C451" s="11"/>
      <c r="D451" s="6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65"/>
      <c r="C452" s="11"/>
      <c r="D452" s="6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65"/>
      <c r="C453" s="11"/>
      <c r="D453" s="6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65"/>
      <c r="C454" s="11"/>
      <c r="D454" s="6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65"/>
      <c r="C455" s="11"/>
      <c r="D455" s="6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65"/>
      <c r="C456" s="11"/>
      <c r="D456" s="6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65"/>
      <c r="C457" s="11"/>
      <c r="D457" s="6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65"/>
      <c r="C458" s="11"/>
      <c r="D458" s="6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65"/>
      <c r="C459" s="11"/>
      <c r="D459" s="6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65"/>
      <c r="C460" s="11"/>
      <c r="D460" s="6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65"/>
      <c r="C461" s="11"/>
      <c r="D461" s="6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65"/>
      <c r="C462" s="11"/>
      <c r="D462" s="6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65"/>
      <c r="C463" s="11"/>
      <c r="D463" s="6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65"/>
      <c r="C464" s="11"/>
      <c r="D464" s="6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65"/>
      <c r="C465" s="11"/>
      <c r="D465" s="6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65"/>
      <c r="C466" s="11"/>
      <c r="D466" s="6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65"/>
      <c r="C467" s="11"/>
      <c r="D467" s="6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65"/>
      <c r="C468" s="11"/>
      <c r="D468" s="6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65"/>
      <c r="C469" s="11"/>
      <c r="D469" s="6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65"/>
      <c r="C470" s="11"/>
      <c r="D470" s="6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65"/>
      <c r="C471" s="11"/>
      <c r="D471" s="6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65"/>
      <c r="C472" s="11"/>
      <c r="D472" s="6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65"/>
      <c r="C473" s="11"/>
      <c r="D473" s="6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65"/>
      <c r="C474" s="11"/>
      <c r="D474" s="6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65"/>
      <c r="C475" s="11"/>
      <c r="D475" s="6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65"/>
      <c r="C476" s="11"/>
      <c r="D476" s="6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65"/>
      <c r="C477" s="11"/>
      <c r="D477" s="6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65"/>
      <c r="C478" s="11"/>
      <c r="D478" s="6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65"/>
      <c r="C479" s="11"/>
      <c r="D479" s="6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65"/>
      <c r="C480" s="11"/>
      <c r="D480" s="6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65"/>
      <c r="C481" s="11"/>
      <c r="D481" s="6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65"/>
      <c r="C482" s="11"/>
      <c r="D482" s="6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65"/>
      <c r="C483" s="11"/>
      <c r="D483" s="6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65"/>
      <c r="C484" s="11"/>
      <c r="D484" s="6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65"/>
      <c r="C485" s="11"/>
      <c r="D485" s="6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65"/>
      <c r="C486" s="11"/>
      <c r="D486" s="6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65"/>
      <c r="C487" s="11"/>
      <c r="D487" s="6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65"/>
      <c r="C488" s="11"/>
      <c r="D488" s="6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65"/>
      <c r="C489" s="11"/>
      <c r="D489" s="6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65"/>
      <c r="C490" s="11"/>
      <c r="D490" s="6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65"/>
      <c r="C491" s="11"/>
      <c r="D491" s="6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65"/>
      <c r="C492" s="11"/>
      <c r="D492" s="6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65"/>
      <c r="C493" s="11"/>
      <c r="D493" s="6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65"/>
      <c r="C494" s="11"/>
      <c r="D494" s="6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65"/>
      <c r="C495" s="11"/>
      <c r="D495" s="6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65"/>
      <c r="C496" s="11"/>
      <c r="D496" s="6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65"/>
      <c r="C497" s="11"/>
      <c r="D497" s="6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65"/>
      <c r="C498" s="11"/>
      <c r="D498" s="6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65"/>
      <c r="C499" s="11"/>
      <c r="D499" s="6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65"/>
      <c r="C500" s="11"/>
      <c r="D500" s="6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65"/>
      <c r="C501" s="11"/>
      <c r="D501" s="6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65"/>
      <c r="C502" s="11"/>
      <c r="D502" s="6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65"/>
      <c r="C503" s="11"/>
      <c r="D503" s="6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65"/>
      <c r="C504" s="11"/>
      <c r="D504" s="6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65"/>
      <c r="C505" s="11"/>
      <c r="D505" s="6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65"/>
      <c r="C506" s="11"/>
      <c r="D506" s="6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65"/>
      <c r="C507" s="11"/>
      <c r="D507" s="6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65"/>
      <c r="C508" s="11"/>
      <c r="D508" s="6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65"/>
      <c r="C509" s="11"/>
      <c r="D509" s="6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65"/>
      <c r="C510" s="11"/>
      <c r="D510" s="6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65"/>
      <c r="C511" s="11"/>
      <c r="D511" s="6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65"/>
      <c r="C512" s="11"/>
      <c r="D512" s="6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65"/>
      <c r="C513" s="11"/>
      <c r="D513" s="6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65"/>
      <c r="C514" s="11"/>
      <c r="D514" s="6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65"/>
      <c r="C515" s="11"/>
      <c r="D515" s="6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65"/>
      <c r="C516" s="11"/>
      <c r="D516" s="6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65"/>
      <c r="C517" s="11"/>
      <c r="D517" s="6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65"/>
      <c r="C518" s="11"/>
      <c r="D518" s="6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65"/>
      <c r="C519" s="11"/>
      <c r="D519" s="6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65"/>
      <c r="C520" s="11"/>
      <c r="D520" s="6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65"/>
      <c r="C521" s="11"/>
      <c r="D521" s="6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65"/>
      <c r="C522" s="11"/>
      <c r="D522" s="6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65"/>
      <c r="C523" s="11"/>
      <c r="D523" s="6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65"/>
      <c r="C524" s="11"/>
      <c r="D524" s="6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65"/>
      <c r="C525" s="11"/>
      <c r="D525" s="6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65"/>
      <c r="C526" s="11"/>
      <c r="D526" s="6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65"/>
      <c r="C527" s="11"/>
      <c r="D527" s="6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65"/>
      <c r="C528" s="11"/>
      <c r="D528" s="6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65"/>
      <c r="C529" s="11"/>
      <c r="D529" s="6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65"/>
      <c r="C530" s="11"/>
      <c r="D530" s="6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65"/>
      <c r="C531" s="11"/>
      <c r="D531" s="6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65"/>
      <c r="C532" s="11"/>
      <c r="D532" s="6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65"/>
      <c r="C533" s="11"/>
      <c r="D533" s="6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65"/>
      <c r="C534" s="11"/>
      <c r="D534" s="6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65"/>
      <c r="C535" s="11"/>
      <c r="D535" s="6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65"/>
      <c r="C536" s="11"/>
      <c r="D536" s="6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65"/>
      <c r="C537" s="11"/>
      <c r="D537" s="6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65"/>
      <c r="C538" s="11"/>
      <c r="D538" s="6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65"/>
      <c r="C539" s="11"/>
      <c r="D539" s="6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65"/>
      <c r="C540" s="11"/>
      <c r="D540" s="6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65"/>
      <c r="C541" s="11"/>
      <c r="D541" s="6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65"/>
      <c r="C542" s="11"/>
      <c r="D542" s="6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65"/>
      <c r="C543" s="11"/>
      <c r="D543" s="6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65"/>
      <c r="C544" s="11"/>
      <c r="D544" s="6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65"/>
      <c r="C545" s="11"/>
      <c r="D545" s="6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65"/>
      <c r="C546" s="11"/>
      <c r="D546" s="6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65"/>
      <c r="C547" s="11"/>
      <c r="D547" s="6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65"/>
      <c r="C548" s="11"/>
      <c r="D548" s="6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65"/>
      <c r="C549" s="11"/>
      <c r="D549" s="6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65"/>
      <c r="C550" s="11"/>
      <c r="D550" s="6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65"/>
      <c r="C551" s="11"/>
      <c r="D551" s="6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65"/>
      <c r="C552" s="11"/>
      <c r="D552" s="6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65"/>
      <c r="C553" s="11"/>
      <c r="D553" s="6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65"/>
      <c r="C554" s="11"/>
      <c r="D554" s="6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65"/>
      <c r="C555" s="11"/>
      <c r="D555" s="6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65"/>
      <c r="C556" s="11"/>
      <c r="D556" s="6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65"/>
      <c r="C557" s="11"/>
      <c r="D557" s="6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65"/>
      <c r="C558" s="11"/>
      <c r="D558" s="6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65"/>
      <c r="C559" s="11"/>
      <c r="D559" s="6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65"/>
      <c r="C560" s="11"/>
      <c r="D560" s="6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65"/>
      <c r="C561" s="11"/>
      <c r="D561" s="6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65"/>
      <c r="C562" s="11"/>
      <c r="D562" s="6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65"/>
      <c r="C563" s="11"/>
      <c r="D563" s="6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65"/>
      <c r="C564" s="11"/>
      <c r="D564" s="6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65"/>
      <c r="C565" s="11"/>
      <c r="D565" s="6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65"/>
      <c r="C566" s="11"/>
      <c r="D566" s="6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65"/>
      <c r="C567" s="11"/>
      <c r="D567" s="6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65"/>
      <c r="C568" s="11"/>
      <c r="D568" s="6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65"/>
      <c r="C569" s="11"/>
      <c r="D569" s="6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65"/>
      <c r="C570" s="11"/>
      <c r="D570" s="6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65"/>
      <c r="C571" s="11"/>
      <c r="D571" s="6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65"/>
      <c r="C572" s="11"/>
      <c r="D572" s="6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65"/>
      <c r="C573" s="11"/>
      <c r="D573" s="6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65"/>
      <c r="C574" s="11"/>
      <c r="D574" s="6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65"/>
      <c r="C575" s="11"/>
      <c r="D575" s="6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65"/>
      <c r="C576" s="11"/>
      <c r="D576" s="6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65"/>
      <c r="C577" s="11"/>
      <c r="D577" s="6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65"/>
      <c r="C578" s="11"/>
      <c r="D578" s="6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65"/>
      <c r="C579" s="11"/>
      <c r="D579" s="6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65"/>
      <c r="C580" s="11"/>
      <c r="D580" s="6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65"/>
      <c r="C581" s="11"/>
      <c r="D581" s="6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65"/>
      <c r="C582" s="11"/>
      <c r="D582" s="6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65"/>
      <c r="C583" s="11"/>
      <c r="D583" s="6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65"/>
      <c r="C584" s="11"/>
      <c r="D584" s="6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65"/>
      <c r="C585" s="11"/>
      <c r="D585" s="6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65"/>
      <c r="C586" s="11"/>
      <c r="D586" s="6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65"/>
      <c r="C587" s="11"/>
      <c r="D587" s="6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65"/>
      <c r="C588" s="11"/>
      <c r="D588" s="6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65"/>
      <c r="C589" s="11"/>
      <c r="D589" s="6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65"/>
      <c r="C590" s="11"/>
      <c r="D590" s="6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65"/>
      <c r="C591" s="11"/>
      <c r="D591" s="6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65"/>
      <c r="C592" s="11"/>
      <c r="D592" s="6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65"/>
      <c r="C593" s="11"/>
      <c r="D593" s="6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65"/>
      <c r="C594" s="11"/>
      <c r="D594" s="6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65"/>
      <c r="C595" s="11"/>
      <c r="D595" s="6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65"/>
      <c r="C596" s="11"/>
      <c r="D596" s="6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65"/>
      <c r="C597" s="11"/>
      <c r="D597" s="6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65"/>
      <c r="C598" s="11"/>
      <c r="D598" s="6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65"/>
      <c r="C599" s="11"/>
      <c r="D599" s="6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65"/>
      <c r="C600" s="11"/>
      <c r="D600" s="6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65"/>
      <c r="C601" s="11"/>
      <c r="D601" s="6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65"/>
      <c r="C602" s="11"/>
      <c r="D602" s="6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65"/>
      <c r="C603" s="11"/>
      <c r="D603" s="6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65"/>
      <c r="C604" s="11"/>
      <c r="D604" s="6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65"/>
      <c r="C605" s="11"/>
      <c r="D605" s="6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65"/>
      <c r="C606" s="11"/>
      <c r="D606" s="6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65"/>
      <c r="C607" s="11"/>
      <c r="D607" s="6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65"/>
      <c r="C608" s="11"/>
      <c r="D608" s="6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65"/>
      <c r="C609" s="11"/>
      <c r="D609" s="6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65"/>
      <c r="C610" s="11"/>
      <c r="D610" s="6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65"/>
      <c r="C611" s="11"/>
      <c r="D611" s="6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65"/>
      <c r="C612" s="11"/>
      <c r="D612" s="6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65"/>
      <c r="C613" s="11"/>
      <c r="D613" s="6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65"/>
      <c r="C614" s="11"/>
      <c r="D614" s="6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65"/>
      <c r="C615" s="11"/>
      <c r="D615" s="6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65"/>
      <c r="C616" s="11"/>
      <c r="D616" s="6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65"/>
      <c r="C617" s="11"/>
      <c r="D617" s="6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65"/>
      <c r="C618" s="11"/>
      <c r="D618" s="6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65"/>
      <c r="C619" s="11"/>
      <c r="D619" s="6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65"/>
      <c r="C620" s="11"/>
      <c r="D620" s="6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65"/>
      <c r="C621" s="11"/>
      <c r="D621" s="6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65"/>
      <c r="C622" s="11"/>
      <c r="D622" s="6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65"/>
      <c r="C623" s="11"/>
      <c r="D623" s="6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65"/>
      <c r="C624" s="11"/>
      <c r="D624" s="6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65"/>
      <c r="C625" s="11"/>
      <c r="D625" s="6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65"/>
      <c r="C626" s="11"/>
      <c r="D626" s="6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65"/>
      <c r="C627" s="11"/>
      <c r="D627" s="6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65"/>
      <c r="C628" s="11"/>
      <c r="D628" s="6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65"/>
      <c r="C629" s="11"/>
      <c r="D629" s="6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65"/>
      <c r="C630" s="11"/>
      <c r="D630" s="6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65"/>
      <c r="C631" s="11"/>
      <c r="D631" s="6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65"/>
      <c r="C632" s="11"/>
      <c r="D632" s="6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65"/>
      <c r="C633" s="11"/>
      <c r="D633" s="6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65"/>
      <c r="C634" s="11"/>
      <c r="D634" s="6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65"/>
      <c r="C635" s="11"/>
      <c r="D635" s="6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65"/>
      <c r="C636" s="11"/>
      <c r="D636" s="6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65"/>
      <c r="C637" s="11"/>
      <c r="D637" s="6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65"/>
      <c r="C638" s="11"/>
      <c r="D638" s="6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65"/>
      <c r="C639" s="11"/>
      <c r="D639" s="6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65"/>
      <c r="C640" s="11"/>
      <c r="D640" s="6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65"/>
      <c r="C641" s="11"/>
      <c r="D641" s="6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65"/>
      <c r="C642" s="11"/>
      <c r="D642" s="6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65"/>
      <c r="C643" s="11"/>
      <c r="D643" s="6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65"/>
      <c r="C644" s="11"/>
      <c r="D644" s="6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65"/>
      <c r="C645" s="11"/>
      <c r="D645" s="6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65"/>
      <c r="C646" s="11"/>
      <c r="D646" s="6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65"/>
      <c r="C647" s="11"/>
      <c r="D647" s="6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65"/>
      <c r="C648" s="11"/>
      <c r="D648" s="6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65"/>
      <c r="C649" s="11"/>
      <c r="D649" s="6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65"/>
      <c r="C650" s="11"/>
      <c r="D650" s="6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65"/>
      <c r="C651" s="11"/>
      <c r="D651" s="6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65"/>
      <c r="C652" s="11"/>
      <c r="D652" s="6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65"/>
      <c r="C653" s="11"/>
      <c r="D653" s="6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65"/>
      <c r="C654" s="11"/>
      <c r="D654" s="6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65"/>
      <c r="C655" s="11"/>
      <c r="D655" s="6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65"/>
      <c r="C656" s="11"/>
      <c r="D656" s="6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65"/>
      <c r="C657" s="11"/>
      <c r="D657" s="6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65"/>
      <c r="C658" s="11"/>
      <c r="D658" s="6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65"/>
      <c r="C659" s="11"/>
      <c r="D659" s="6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65"/>
      <c r="C660" s="11"/>
      <c r="D660" s="6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65"/>
      <c r="C661" s="11"/>
      <c r="D661" s="6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65"/>
      <c r="C662" s="11"/>
      <c r="D662" s="6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65"/>
      <c r="C663" s="11"/>
      <c r="D663" s="6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65"/>
      <c r="C664" s="11"/>
      <c r="D664" s="6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65"/>
      <c r="C665" s="11"/>
      <c r="D665" s="6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65"/>
      <c r="C666" s="11"/>
      <c r="D666" s="6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65"/>
      <c r="C667" s="11"/>
      <c r="D667" s="6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65"/>
      <c r="C668" s="11"/>
      <c r="D668" s="6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65"/>
      <c r="C669" s="11"/>
      <c r="D669" s="6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65"/>
      <c r="C670" s="11"/>
      <c r="D670" s="6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65"/>
      <c r="C671" s="11"/>
      <c r="D671" s="6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65"/>
      <c r="C672" s="11"/>
      <c r="D672" s="6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65"/>
      <c r="C673" s="11"/>
      <c r="D673" s="6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65"/>
      <c r="C674" s="11"/>
      <c r="D674" s="6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65"/>
      <c r="C675" s="11"/>
      <c r="D675" s="6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65"/>
      <c r="C676" s="11"/>
      <c r="D676" s="6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65"/>
      <c r="C677" s="11"/>
      <c r="D677" s="6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65"/>
      <c r="C678" s="11"/>
      <c r="D678" s="6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65"/>
      <c r="C679" s="11"/>
      <c r="D679" s="6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65"/>
      <c r="C680" s="11"/>
      <c r="D680" s="6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65"/>
      <c r="C681" s="11"/>
      <c r="D681" s="6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65"/>
      <c r="C682" s="11"/>
      <c r="D682" s="6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65"/>
      <c r="C683" s="11"/>
      <c r="D683" s="6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65"/>
      <c r="C684" s="11"/>
      <c r="D684" s="6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65"/>
      <c r="C685" s="11"/>
      <c r="D685" s="6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65"/>
      <c r="C686" s="11"/>
      <c r="D686" s="6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65"/>
      <c r="C687" s="11"/>
      <c r="D687" s="6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65"/>
      <c r="C688" s="11"/>
      <c r="D688" s="6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65"/>
      <c r="C689" s="11"/>
      <c r="D689" s="6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65"/>
      <c r="C690" s="11"/>
      <c r="D690" s="6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65"/>
      <c r="C691" s="11"/>
      <c r="D691" s="6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65"/>
      <c r="C692" s="11"/>
      <c r="D692" s="6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65"/>
      <c r="C693" s="11"/>
      <c r="D693" s="6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65"/>
      <c r="C694" s="11"/>
      <c r="D694" s="6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65"/>
      <c r="C695" s="11"/>
      <c r="D695" s="6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65"/>
      <c r="C696" s="11"/>
      <c r="D696" s="6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65"/>
      <c r="C697" s="11"/>
      <c r="D697" s="6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65"/>
      <c r="C698" s="11"/>
      <c r="D698" s="6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65"/>
      <c r="C699" s="11"/>
      <c r="D699" s="6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65"/>
      <c r="C700" s="11"/>
      <c r="D700" s="6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65"/>
      <c r="C701" s="11"/>
      <c r="D701" s="6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65"/>
      <c r="C702" s="11"/>
      <c r="D702" s="6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65"/>
      <c r="C703" s="11"/>
      <c r="D703" s="6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65"/>
      <c r="C704" s="11"/>
      <c r="D704" s="6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65"/>
      <c r="C705" s="11"/>
      <c r="D705" s="6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65"/>
      <c r="C706" s="11"/>
      <c r="D706" s="6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65"/>
      <c r="C707" s="11"/>
      <c r="D707" s="6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65"/>
      <c r="C708" s="11"/>
      <c r="D708" s="6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65"/>
      <c r="C709" s="11"/>
      <c r="D709" s="6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65"/>
      <c r="C710" s="11"/>
      <c r="D710" s="6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65"/>
      <c r="C711" s="11"/>
      <c r="D711" s="6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65"/>
      <c r="C712" s="11"/>
      <c r="D712" s="6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65"/>
      <c r="C713" s="11"/>
      <c r="D713" s="6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65"/>
      <c r="C714" s="11"/>
      <c r="D714" s="6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65"/>
      <c r="C715" s="11"/>
      <c r="D715" s="6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65"/>
      <c r="C716" s="11"/>
      <c r="D716" s="6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65"/>
      <c r="C717" s="11"/>
      <c r="D717" s="6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65"/>
      <c r="C718" s="11"/>
      <c r="D718" s="6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65"/>
      <c r="C719" s="11"/>
      <c r="D719" s="6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65"/>
      <c r="C720" s="11"/>
      <c r="D720" s="6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65"/>
      <c r="C721" s="11"/>
      <c r="D721" s="6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65"/>
      <c r="C722" s="11"/>
      <c r="D722" s="6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65"/>
      <c r="C723" s="11"/>
      <c r="D723" s="6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65"/>
      <c r="C724" s="11"/>
      <c r="D724" s="6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65"/>
      <c r="C725" s="11"/>
      <c r="D725" s="6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65"/>
      <c r="C726" s="11"/>
      <c r="D726" s="6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65"/>
      <c r="C727" s="11"/>
      <c r="D727" s="6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65"/>
      <c r="C728" s="11"/>
      <c r="D728" s="6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65"/>
      <c r="C729" s="11"/>
      <c r="D729" s="6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65"/>
      <c r="C730" s="11"/>
      <c r="D730" s="6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65"/>
      <c r="C731" s="11"/>
      <c r="D731" s="6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65"/>
      <c r="C732" s="11"/>
      <c r="D732" s="6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65"/>
      <c r="C733" s="11"/>
      <c r="D733" s="6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65"/>
      <c r="C734" s="11"/>
      <c r="D734" s="6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65"/>
      <c r="C735" s="11"/>
      <c r="D735" s="6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65"/>
      <c r="C736" s="11"/>
      <c r="D736" s="6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65"/>
      <c r="C737" s="11"/>
      <c r="D737" s="6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65"/>
      <c r="C738" s="11"/>
      <c r="D738" s="6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65"/>
      <c r="C739" s="11"/>
      <c r="D739" s="6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65"/>
      <c r="C740" s="11"/>
      <c r="D740" s="6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65"/>
      <c r="C741" s="11"/>
      <c r="D741" s="6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65"/>
      <c r="C742" s="11"/>
      <c r="D742" s="6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65"/>
      <c r="C743" s="11"/>
      <c r="D743" s="6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65"/>
      <c r="C744" s="11"/>
      <c r="D744" s="6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65"/>
      <c r="C745" s="11"/>
      <c r="D745" s="6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65"/>
      <c r="C746" s="11"/>
      <c r="D746" s="6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65"/>
      <c r="C747" s="11"/>
      <c r="D747" s="6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65"/>
      <c r="C748" s="11"/>
      <c r="D748" s="6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65"/>
      <c r="C749" s="11"/>
      <c r="D749" s="6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65"/>
      <c r="C750" s="11"/>
      <c r="D750" s="6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65"/>
      <c r="C751" s="11"/>
      <c r="D751" s="6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65"/>
      <c r="C752" s="11"/>
      <c r="D752" s="6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65"/>
      <c r="C753" s="11"/>
      <c r="D753" s="6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65"/>
      <c r="C754" s="11"/>
      <c r="D754" s="6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65"/>
      <c r="C755" s="11"/>
      <c r="D755" s="6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65"/>
      <c r="C756" s="11"/>
      <c r="D756" s="6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65"/>
      <c r="C757" s="11"/>
      <c r="D757" s="6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65"/>
      <c r="C758" s="11"/>
      <c r="D758" s="6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65"/>
      <c r="C759" s="11"/>
      <c r="D759" s="6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65"/>
      <c r="C760" s="11"/>
      <c r="D760" s="6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65"/>
      <c r="C761" s="11"/>
      <c r="D761" s="6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65"/>
      <c r="C762" s="11"/>
      <c r="D762" s="6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65"/>
      <c r="C763" s="11"/>
      <c r="D763" s="6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65"/>
      <c r="C764" s="11"/>
      <c r="D764" s="6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65"/>
      <c r="C765" s="11"/>
      <c r="D765" s="6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65"/>
      <c r="C766" s="11"/>
      <c r="D766" s="6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65"/>
      <c r="C767" s="11"/>
      <c r="D767" s="6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65"/>
      <c r="C768" s="11"/>
      <c r="D768" s="6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65"/>
      <c r="C769" s="11"/>
      <c r="D769" s="6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65"/>
      <c r="C770" s="11"/>
      <c r="D770" s="6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65"/>
      <c r="C771" s="11"/>
      <c r="D771" s="6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65"/>
      <c r="C772" s="11"/>
      <c r="D772" s="6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65"/>
      <c r="C773" s="11"/>
      <c r="D773" s="6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65"/>
      <c r="C774" s="11"/>
      <c r="D774" s="6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65"/>
      <c r="C775" s="11"/>
      <c r="D775" s="6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65"/>
      <c r="C776" s="11"/>
      <c r="D776" s="6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65"/>
      <c r="C777" s="11"/>
      <c r="D777" s="6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65"/>
      <c r="C778" s="11"/>
      <c r="D778" s="6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65"/>
      <c r="C779" s="11"/>
      <c r="D779" s="6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65"/>
      <c r="C780" s="11"/>
      <c r="D780" s="6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65"/>
      <c r="C781" s="11"/>
      <c r="D781" s="6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65"/>
      <c r="C782" s="11"/>
      <c r="D782" s="6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65"/>
      <c r="C783" s="11"/>
      <c r="D783" s="6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65"/>
      <c r="C784" s="11"/>
      <c r="D784" s="6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65"/>
      <c r="C785" s="11"/>
      <c r="D785" s="6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65"/>
      <c r="C786" s="11"/>
      <c r="D786" s="6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65"/>
      <c r="C787" s="11"/>
      <c r="D787" s="6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65"/>
      <c r="C788" s="11"/>
      <c r="D788" s="6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65"/>
      <c r="C789" s="11"/>
      <c r="D789" s="6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65"/>
      <c r="C790" s="11"/>
      <c r="D790" s="6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65"/>
      <c r="C791" s="11"/>
      <c r="D791" s="6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65"/>
      <c r="C792" s="11"/>
      <c r="D792" s="6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65"/>
      <c r="C793" s="11"/>
      <c r="D793" s="6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65"/>
      <c r="C794" s="11"/>
      <c r="D794" s="6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65"/>
      <c r="C795" s="11"/>
      <c r="D795" s="6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65"/>
      <c r="C796" s="11"/>
      <c r="D796" s="6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65"/>
      <c r="C797" s="11"/>
      <c r="D797" s="6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65"/>
      <c r="C798" s="11"/>
      <c r="D798" s="6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65"/>
      <c r="C799" s="11"/>
      <c r="D799" s="6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65"/>
      <c r="C800" s="11"/>
      <c r="D800" s="6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65"/>
      <c r="C801" s="11"/>
      <c r="D801" s="6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65"/>
      <c r="C802" s="11"/>
      <c r="D802" s="6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65"/>
      <c r="C803" s="11"/>
      <c r="D803" s="6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65"/>
      <c r="C804" s="11"/>
      <c r="D804" s="6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65"/>
      <c r="C805" s="11"/>
      <c r="D805" s="6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65"/>
      <c r="C806" s="11"/>
      <c r="D806" s="6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65"/>
      <c r="C807" s="11"/>
      <c r="D807" s="6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65"/>
      <c r="C808" s="11"/>
      <c r="D808" s="6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65"/>
      <c r="C809" s="11"/>
      <c r="D809" s="6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65"/>
      <c r="C810" s="11"/>
      <c r="D810" s="6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65"/>
      <c r="C811" s="11"/>
      <c r="D811" s="6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65"/>
      <c r="C812" s="11"/>
      <c r="D812" s="6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65"/>
      <c r="C813" s="11"/>
      <c r="D813" s="6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65"/>
      <c r="C814" s="11"/>
      <c r="D814" s="6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65"/>
      <c r="C815" s="11"/>
      <c r="D815" s="6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65"/>
      <c r="C816" s="11"/>
      <c r="D816" s="6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65"/>
      <c r="C817" s="11"/>
      <c r="D817" s="6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65"/>
      <c r="C818" s="11"/>
      <c r="D818" s="6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65"/>
      <c r="C819" s="11"/>
      <c r="D819" s="6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65"/>
      <c r="C820" s="11"/>
      <c r="D820" s="6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65"/>
      <c r="C821" s="11"/>
      <c r="D821" s="6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65"/>
      <c r="C822" s="11"/>
      <c r="D822" s="6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65"/>
      <c r="C823" s="11"/>
      <c r="D823" s="6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65"/>
      <c r="C824" s="11"/>
      <c r="D824" s="6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65"/>
      <c r="C825" s="11"/>
      <c r="D825" s="6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65"/>
      <c r="C826" s="11"/>
      <c r="D826" s="6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65"/>
      <c r="C827" s="11"/>
      <c r="D827" s="6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65"/>
      <c r="C828" s="11"/>
      <c r="D828" s="6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65"/>
      <c r="C829" s="11"/>
      <c r="D829" s="6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65"/>
      <c r="C830" s="11"/>
      <c r="D830" s="6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65"/>
      <c r="C831" s="11"/>
      <c r="D831" s="6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65"/>
      <c r="C832" s="11"/>
      <c r="D832" s="6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65"/>
      <c r="C833" s="11"/>
      <c r="D833" s="6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65"/>
      <c r="C834" s="11"/>
      <c r="D834" s="6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65"/>
      <c r="C835" s="11"/>
      <c r="D835" s="6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65"/>
      <c r="C836" s="11"/>
      <c r="D836" s="6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65"/>
      <c r="C837" s="11"/>
      <c r="D837" s="6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65"/>
      <c r="C838" s="11"/>
      <c r="D838" s="6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65"/>
      <c r="C839" s="11"/>
      <c r="D839" s="6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65"/>
      <c r="C840" s="11"/>
      <c r="D840" s="6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65"/>
      <c r="C841" s="11"/>
      <c r="D841" s="6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65"/>
      <c r="C842" s="11"/>
      <c r="D842" s="6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65"/>
      <c r="C843" s="11"/>
      <c r="D843" s="6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65"/>
      <c r="C844" s="11"/>
      <c r="D844" s="6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65"/>
      <c r="C845" s="11"/>
      <c r="D845" s="6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65"/>
      <c r="C846" s="11"/>
      <c r="D846" s="6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65"/>
      <c r="C847" s="11"/>
      <c r="D847" s="6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65"/>
      <c r="C848" s="11"/>
      <c r="D848" s="6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65"/>
      <c r="C849" s="11"/>
      <c r="D849" s="6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65"/>
      <c r="C850" s="11"/>
      <c r="D850" s="6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65"/>
      <c r="C851" s="11"/>
      <c r="D851" s="6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65"/>
      <c r="C852" s="11"/>
      <c r="D852" s="6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65"/>
      <c r="C853" s="11"/>
      <c r="D853" s="6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65"/>
      <c r="C854" s="11"/>
      <c r="D854" s="6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65"/>
      <c r="C855" s="11"/>
      <c r="D855" s="6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65"/>
      <c r="C856" s="11"/>
      <c r="D856" s="6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65"/>
      <c r="C857" s="11"/>
      <c r="D857" s="6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65"/>
      <c r="C858" s="11"/>
      <c r="D858" s="6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65"/>
      <c r="C859" s="11"/>
      <c r="D859" s="6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65"/>
      <c r="C860" s="11"/>
      <c r="D860" s="6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65"/>
      <c r="C861" s="11"/>
      <c r="D861" s="6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65"/>
      <c r="C862" s="11"/>
      <c r="D862" s="6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65"/>
      <c r="C863" s="11"/>
      <c r="D863" s="6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65"/>
      <c r="C864" s="11"/>
      <c r="D864" s="6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65"/>
      <c r="C865" s="11"/>
      <c r="D865" s="6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65"/>
      <c r="C866" s="11"/>
      <c r="D866" s="6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65"/>
      <c r="C867" s="11"/>
      <c r="D867" s="6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65"/>
      <c r="C868" s="11"/>
      <c r="D868" s="6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65"/>
      <c r="C869" s="11"/>
      <c r="D869" s="6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65"/>
      <c r="C870" s="11"/>
      <c r="D870" s="6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65"/>
      <c r="C871" s="11"/>
      <c r="D871" s="6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65"/>
      <c r="C872" s="11"/>
      <c r="D872" s="6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65"/>
      <c r="C873" s="11"/>
      <c r="D873" s="6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65"/>
      <c r="C874" s="11"/>
      <c r="D874" s="6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65"/>
      <c r="C875" s="11"/>
      <c r="D875" s="6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65"/>
      <c r="C876" s="11"/>
      <c r="D876" s="6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65"/>
      <c r="C877" s="11"/>
      <c r="D877" s="6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65"/>
      <c r="C878" s="11"/>
      <c r="D878" s="6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65"/>
      <c r="C879" s="11"/>
      <c r="D879" s="6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65"/>
      <c r="C880" s="11"/>
      <c r="D880" s="6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65"/>
      <c r="C881" s="11"/>
      <c r="D881" s="6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65"/>
      <c r="C882" s="11"/>
      <c r="D882" s="6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65"/>
      <c r="C883" s="11"/>
      <c r="D883" s="6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65"/>
      <c r="C884" s="11"/>
      <c r="D884" s="6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65"/>
      <c r="C885" s="11"/>
      <c r="D885" s="6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65"/>
      <c r="C886" s="11"/>
      <c r="D886" s="6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65"/>
      <c r="C887" s="11"/>
      <c r="D887" s="6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65"/>
      <c r="C888" s="11"/>
      <c r="D888" s="6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65"/>
      <c r="C889" s="11"/>
      <c r="D889" s="6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65"/>
      <c r="C890" s="11"/>
      <c r="D890" s="6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65"/>
      <c r="C891" s="11"/>
      <c r="D891" s="6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65"/>
      <c r="C892" s="11"/>
      <c r="D892" s="6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65"/>
      <c r="C893" s="11"/>
      <c r="D893" s="6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65"/>
      <c r="C894" s="11"/>
      <c r="D894" s="6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65"/>
      <c r="C895" s="11"/>
      <c r="D895" s="6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65"/>
      <c r="C896" s="11"/>
      <c r="D896" s="6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65"/>
      <c r="C897" s="11"/>
      <c r="D897" s="6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65"/>
      <c r="C898" s="11"/>
      <c r="D898" s="6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65"/>
      <c r="C899" s="11"/>
      <c r="D899" s="6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65"/>
      <c r="C900" s="11"/>
      <c r="D900" s="6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65"/>
      <c r="C901" s="11"/>
      <c r="D901" s="6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65"/>
      <c r="C902" s="11"/>
      <c r="D902" s="6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65"/>
      <c r="C903" s="11"/>
      <c r="D903" s="6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65"/>
      <c r="C904" s="11"/>
      <c r="D904" s="6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65"/>
      <c r="C905" s="11"/>
      <c r="D905" s="6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65"/>
      <c r="C906" s="11"/>
      <c r="D906" s="6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65"/>
      <c r="C907" s="11"/>
      <c r="D907" s="6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65"/>
      <c r="C908" s="11"/>
      <c r="D908" s="6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65"/>
      <c r="C909" s="11"/>
      <c r="D909" s="6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65"/>
      <c r="C910" s="11"/>
      <c r="D910" s="6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65"/>
      <c r="C911" s="11"/>
      <c r="D911" s="6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65"/>
      <c r="C912" s="11"/>
      <c r="D912" s="6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65"/>
      <c r="C913" s="11"/>
      <c r="D913" s="6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65"/>
      <c r="C914" s="11"/>
      <c r="D914" s="6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65"/>
      <c r="C915" s="11"/>
      <c r="D915" s="6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65"/>
      <c r="C916" s="11"/>
      <c r="D916" s="6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65"/>
      <c r="C917" s="11"/>
      <c r="D917" s="6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65"/>
      <c r="C918" s="11"/>
      <c r="D918" s="6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65"/>
      <c r="C919" s="11"/>
      <c r="D919" s="6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65"/>
      <c r="C920" s="11"/>
      <c r="D920" s="6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65"/>
      <c r="C921" s="11"/>
      <c r="D921" s="6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65"/>
      <c r="C922" s="11"/>
      <c r="D922" s="6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65"/>
      <c r="C923" s="11"/>
      <c r="D923" s="6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65"/>
      <c r="C924" s="11"/>
      <c r="D924" s="6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65"/>
      <c r="C925" s="11"/>
      <c r="D925" s="6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65"/>
      <c r="C926" s="11"/>
      <c r="D926" s="6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65"/>
      <c r="C927" s="11"/>
      <c r="D927" s="6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65"/>
      <c r="C928" s="11"/>
      <c r="D928" s="6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65"/>
      <c r="C929" s="11"/>
      <c r="D929" s="6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65"/>
      <c r="C930" s="11"/>
      <c r="D930" s="6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65"/>
      <c r="C931" s="11"/>
      <c r="D931" s="6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65"/>
      <c r="C932" s="11"/>
      <c r="D932" s="6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65"/>
      <c r="C933" s="11"/>
      <c r="D933" s="6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65"/>
      <c r="C934" s="11"/>
      <c r="D934" s="6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65"/>
      <c r="C935" s="11"/>
      <c r="D935" s="6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65"/>
      <c r="C936" s="11"/>
      <c r="D936" s="6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65"/>
      <c r="C937" s="11"/>
      <c r="D937" s="6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65"/>
      <c r="C938" s="11"/>
      <c r="D938" s="6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65"/>
      <c r="C939" s="11"/>
      <c r="D939" s="6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65"/>
      <c r="C940" s="11"/>
      <c r="D940" s="6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65"/>
      <c r="C941" s="11"/>
      <c r="D941" s="6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65"/>
      <c r="C942" s="11"/>
      <c r="D942" s="6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65"/>
      <c r="C943" s="11"/>
      <c r="D943" s="6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65"/>
      <c r="C944" s="11"/>
      <c r="D944" s="6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65"/>
      <c r="C945" s="11"/>
      <c r="D945" s="6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65"/>
      <c r="C946" s="11"/>
      <c r="D946" s="6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65"/>
      <c r="C947" s="11"/>
      <c r="D947" s="6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65"/>
      <c r="C948" s="11"/>
      <c r="D948" s="6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65"/>
      <c r="C949" s="11"/>
      <c r="D949" s="6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65"/>
      <c r="C950" s="11"/>
      <c r="D950" s="6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65"/>
      <c r="C951" s="11"/>
      <c r="D951" s="6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65"/>
      <c r="C952" s="11"/>
      <c r="D952" s="6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65"/>
      <c r="C953" s="11"/>
      <c r="D953" s="6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65"/>
      <c r="C954" s="11"/>
      <c r="D954" s="6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65"/>
      <c r="C955" s="11"/>
      <c r="D955" s="6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65"/>
      <c r="C956" s="11"/>
      <c r="D956" s="6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65"/>
      <c r="C957" s="11"/>
      <c r="D957" s="6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65"/>
      <c r="C958" s="11"/>
      <c r="D958" s="6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65"/>
      <c r="C959" s="11"/>
      <c r="D959" s="6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65"/>
      <c r="C960" s="11"/>
      <c r="D960" s="6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65"/>
      <c r="C961" s="11"/>
      <c r="D961" s="6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65"/>
      <c r="C962" s="11"/>
      <c r="D962" s="6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65"/>
      <c r="C963" s="11"/>
      <c r="D963" s="6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65"/>
      <c r="C964" s="11"/>
      <c r="D964" s="6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65"/>
      <c r="C965" s="11"/>
      <c r="D965" s="6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65"/>
      <c r="C966" s="11"/>
      <c r="D966" s="6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65"/>
      <c r="C967" s="11"/>
      <c r="D967" s="6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65"/>
      <c r="C968" s="11"/>
      <c r="D968" s="6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65"/>
      <c r="C969" s="11"/>
      <c r="D969" s="6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65"/>
      <c r="C970" s="11"/>
      <c r="D970" s="6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65"/>
      <c r="C971" s="11"/>
      <c r="D971" s="6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65"/>
      <c r="C972" s="11"/>
      <c r="D972" s="6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65"/>
      <c r="C973" s="11"/>
      <c r="D973" s="6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65"/>
      <c r="C974" s="11"/>
      <c r="D974" s="6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65"/>
      <c r="C975" s="11"/>
      <c r="D975" s="6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65"/>
      <c r="C976" s="11"/>
      <c r="D976" s="6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65"/>
      <c r="C977" s="11"/>
      <c r="D977" s="6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65"/>
      <c r="C978" s="11"/>
      <c r="D978" s="6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65"/>
      <c r="C979" s="11"/>
      <c r="D979" s="6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65"/>
      <c r="C980" s="11"/>
      <c r="D980" s="6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65"/>
      <c r="C981" s="11"/>
      <c r="D981" s="6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65"/>
      <c r="C982" s="11"/>
      <c r="D982" s="6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65"/>
      <c r="C983" s="11"/>
      <c r="D983" s="6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65"/>
      <c r="C984" s="11"/>
      <c r="D984" s="6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65"/>
      <c r="C985" s="11"/>
      <c r="D985" s="6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65"/>
      <c r="C986" s="11"/>
      <c r="D986" s="6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65"/>
      <c r="C987" s="11"/>
      <c r="D987" s="6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65"/>
      <c r="C988" s="11"/>
      <c r="D988" s="6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65"/>
      <c r="C989" s="11"/>
      <c r="D989" s="6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65"/>
      <c r="C990" s="11"/>
      <c r="D990" s="6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65"/>
      <c r="C991" s="11"/>
      <c r="D991" s="6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65"/>
      <c r="C992" s="11"/>
      <c r="D992" s="6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65"/>
      <c r="C993" s="11"/>
      <c r="D993" s="6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65"/>
      <c r="C994" s="11"/>
      <c r="D994" s="6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65"/>
      <c r="C995" s="11"/>
      <c r="D995" s="6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65"/>
      <c r="C996" s="11"/>
      <c r="D996" s="6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65"/>
      <c r="C997" s="11"/>
      <c r="D997" s="6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65"/>
      <c r="C998" s="11"/>
      <c r="D998" s="6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65"/>
      <c r="C999" s="11"/>
      <c r="D999" s="6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65"/>
      <c r="C1000" s="11"/>
      <c r="D1000" s="6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41.5" style="66" customWidth="1"/>
    <col min="2" max="2" width="19.3516" style="66" customWidth="1"/>
    <col min="3" max="3" width="21.8516" style="66" customWidth="1"/>
    <col min="4" max="4" width="14" style="66" customWidth="1"/>
    <col min="5" max="26" width="8.67188" style="66" customWidth="1"/>
    <col min="27" max="16384" width="14.5" style="66" customWidth="1"/>
  </cols>
  <sheetData>
    <row r="1" ht="22.5" customHeight="1">
      <c r="A1" t="s" s="7">
        <v>6</v>
      </c>
      <c r="B1" t="s" s="8">
        <v>7</v>
      </c>
      <c r="C1" t="s" s="8">
        <v>8</v>
      </c>
      <c r="D1" t="s" s="9">
        <v>9</v>
      </c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t="s" s="12">
        <v>10</v>
      </c>
      <c r="B2" s="13">
        <v>3600</v>
      </c>
      <c r="C2" s="14" cm="1">
        <f t="array" ref="C2">B2/B$2</f>
        <v>1</v>
      </c>
      <c r="D2" s="15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t="s" s="16">
        <v>11</v>
      </c>
      <c r="B3" s="17" cm="1">
        <f t="array" ref="B3">SUM(B2)</f>
        <v>3600</v>
      </c>
      <c r="C3" s="18" cm="1">
        <f t="array" ref="C3">B3/B$2</f>
        <v>1</v>
      </c>
      <c r="D3" s="19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t="s" s="20">
        <v>12</v>
      </c>
      <c r="B4" s="21"/>
      <c r="C4" s="22"/>
      <c r="D4" s="23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t="s" s="24">
        <v>13</v>
      </c>
      <c r="B5" s="25">
        <v>716.09</v>
      </c>
      <c r="C5" s="26" cm="1">
        <f t="array" ref="C5">B5/B$2</f>
        <v>0.198913888888889</v>
      </c>
      <c r="D5" s="27" cm="1">
        <f t="array" ref="D5">B5/2</f>
        <v>358.045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t="s" s="28">
        <v>14</v>
      </c>
      <c r="B6" s="29">
        <v>187</v>
      </c>
      <c r="C6" s="30" cm="1">
        <f t="array" ref="C6">B6/B$2</f>
        <v>0.0519444444444444</v>
      </c>
      <c r="D6" s="31" cm="1">
        <f t="array" ref="D6">B6/2</f>
        <v>93.5</v>
      </c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t="s" s="24">
        <v>15</v>
      </c>
      <c r="B7" s="25">
        <v>84</v>
      </c>
      <c r="C7" s="26" cm="1">
        <f t="array" ref="C7">B7/B$2</f>
        <v>0.0233333333333333</v>
      </c>
      <c r="D7" s="27" cm="1">
        <f t="array" ref="D7">B7/2</f>
        <v>42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t="s" s="28">
        <v>16</v>
      </c>
      <c r="B8" s="29">
        <v>29.99</v>
      </c>
      <c r="C8" s="30" cm="1">
        <f t="array" ref="C8">B8/B$2</f>
        <v>0.00833055555555556</v>
      </c>
      <c r="D8" s="31" cm="1">
        <f t="array" ref="D8">B8/2</f>
        <v>14.995</v>
      </c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t="s" s="24">
        <v>17</v>
      </c>
      <c r="B9" s="25">
        <v>18.5</v>
      </c>
      <c r="C9" s="26" cm="1">
        <f t="array" ref="C9">B9/B$2</f>
        <v>0.00513888888888889</v>
      </c>
      <c r="D9" s="27" cm="1">
        <f t="array" ref="D9">B9/2</f>
        <v>9.25</v>
      </c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t="s" s="28">
        <v>18</v>
      </c>
      <c r="B10" s="29">
        <v>72</v>
      </c>
      <c r="C10" s="30" cm="1">
        <f t="array" ref="C10">B10/B$2</f>
        <v>0.02</v>
      </c>
      <c r="D10" s="31" cm="1">
        <f t="array" ref="D10">B10/2</f>
        <v>36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t="s" s="16">
        <v>11</v>
      </c>
      <c r="B11" s="17" cm="1">
        <f t="array" ref="B11">SUM(B5:B10)</f>
        <v>1107.58</v>
      </c>
      <c r="C11" s="18" cm="1">
        <f t="array" ref="C11">B11/B$2</f>
        <v>0.307661111111111</v>
      </c>
      <c r="D11" s="19" cm="1">
        <f t="array" ref="D11">SUM(D5:D10)</f>
        <v>553.79</v>
      </c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34"/>
      <c r="B12" s="35"/>
      <c r="C12" s="36"/>
      <c r="D12" s="15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2.5" customHeight="1">
      <c r="A13" t="s" s="20">
        <v>19</v>
      </c>
      <c r="B13" s="21"/>
      <c r="C13" s="22"/>
      <c r="D13" s="23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t="s" s="28">
        <v>20</v>
      </c>
      <c r="B14" s="29">
        <v>31.95</v>
      </c>
      <c r="C14" s="30" cm="1">
        <f t="array" ref="C14">B14/B$2</f>
        <v>0.008874999999999999</v>
      </c>
      <c r="D14" s="31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t="s" s="16">
        <v>21</v>
      </c>
      <c r="B15" s="17" cm="1">
        <f t="array" ref="B15">SUM(B14)</f>
        <v>31.95</v>
      </c>
      <c r="C15" s="18" cm="1">
        <f t="array" ref="C15">B15/B$2</f>
        <v>0.008874999999999999</v>
      </c>
      <c r="D15" s="19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37"/>
      <c r="B16" s="38"/>
      <c r="C16" s="39"/>
      <c r="D16" s="4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t="s" s="20">
        <v>22</v>
      </c>
      <c r="B17" s="21"/>
      <c r="C17" s="22"/>
      <c r="D17" s="23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t="s" s="28">
        <v>23</v>
      </c>
      <c r="B18" s="29">
        <v>5.265</v>
      </c>
      <c r="C18" s="30" cm="1">
        <f t="array" ref="C18">B18/B$2</f>
        <v>0.0014625</v>
      </c>
      <c r="D18" s="31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t="s" s="24">
        <v>24</v>
      </c>
      <c r="B19" s="25">
        <v>2.083</v>
      </c>
      <c r="C19" s="26" cm="1">
        <f t="array" ref="C19">B19/B$2</f>
        <v>0.000578611111111111</v>
      </c>
      <c r="D19" s="27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t="s" s="28">
        <v>25</v>
      </c>
      <c r="B20" s="29">
        <v>22.62</v>
      </c>
      <c r="C20" s="30" cm="1">
        <f t="array" ref="C20">B20/B$2</f>
        <v>0.00628333333333333</v>
      </c>
      <c r="D20" s="31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t="s" s="24">
        <v>26</v>
      </c>
      <c r="B21" s="25">
        <v>33</v>
      </c>
      <c r="C21" s="26" cm="1">
        <f t="array" ref="C21">B21/B$2</f>
        <v>0.00916666666666667</v>
      </c>
      <c r="D21" s="27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t="s" s="28">
        <v>27</v>
      </c>
      <c r="B22" s="29">
        <v>0</v>
      </c>
      <c r="C22" s="30" cm="1">
        <f t="array" ref="C22">B22/B$2</f>
        <v>0</v>
      </c>
      <c r="D22" s="31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t="s" s="24">
        <v>28</v>
      </c>
      <c r="B23" s="25">
        <v>31.55</v>
      </c>
      <c r="C23" s="26" cm="1">
        <f t="array" ref="C23">B23/B$2</f>
        <v>0.008763888888888891</v>
      </c>
      <c r="D23" s="27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t="s" s="28">
        <v>29</v>
      </c>
      <c r="B24" s="29">
        <v>8.92</v>
      </c>
      <c r="C24" s="30" cm="1">
        <f t="array" ref="C24">B24/B$2</f>
        <v>0.00247777777777778</v>
      </c>
      <c r="D24" s="31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t="s" s="16">
        <v>11</v>
      </c>
      <c r="B25" s="17" cm="1">
        <f t="array" ref="B25">SUM(B18:B24)</f>
        <v>103.438</v>
      </c>
      <c r="C25" s="18" cm="1">
        <f t="array" ref="C25">B25/B$2</f>
        <v>0.0287327777777778</v>
      </c>
      <c r="D25" s="19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4"/>
      <c r="B26" s="35"/>
      <c r="C26" s="36"/>
      <c r="D26" s="15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t="s" s="20">
        <v>30</v>
      </c>
      <c r="B27" s="21"/>
      <c r="C27" s="22"/>
      <c r="D27" s="23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t="s" s="28">
        <v>31</v>
      </c>
      <c r="B28" s="29">
        <v>681.5700000000001</v>
      </c>
      <c r="C28" s="30" cm="1">
        <f t="array" ref="C28">B28/B$2</f>
        <v>0.189325</v>
      </c>
      <c r="D28" s="31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t="s" s="24">
        <v>32</v>
      </c>
      <c r="B29" s="25">
        <v>19.8</v>
      </c>
      <c r="C29" s="26" cm="1">
        <f t="array" ref="C29">B29/B$2</f>
        <v>0.0055</v>
      </c>
      <c r="D29" s="27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t="s" s="16">
        <v>11</v>
      </c>
      <c r="B30" s="17" cm="1">
        <f t="array" ref="B30">SUM(B28:B29)</f>
        <v>701.37</v>
      </c>
      <c r="C30" s="18" cm="1">
        <f t="array" ref="C30">B30/B$2</f>
        <v>0.194825</v>
      </c>
      <c r="D30" s="19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42"/>
      <c r="B31" s="43"/>
      <c r="C31" s="44"/>
      <c r="D31" s="45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t="s" s="20">
        <v>34</v>
      </c>
      <c r="B32" s="21"/>
      <c r="C32" s="22"/>
      <c r="D32" s="23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t="s" s="24">
        <v>35</v>
      </c>
      <c r="B33" s="25">
        <v>23.99</v>
      </c>
      <c r="C33" s="26" cm="1">
        <f t="array" ref="C33">B33/B$2</f>
        <v>0.00666388888888889</v>
      </c>
      <c r="D33" s="27" cm="1">
        <f t="array" ref="D33">B33/6</f>
        <v>3.99833333333333</v>
      </c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t="s" s="28">
        <v>36</v>
      </c>
      <c r="B34" s="29">
        <v>19.99</v>
      </c>
      <c r="C34" s="30" cm="1">
        <f t="array" ref="C34">B34/B$2</f>
        <v>0.00555277777777778</v>
      </c>
      <c r="D34" s="31" cm="1">
        <f t="array" ref="D34">B34/5</f>
        <v>3.998</v>
      </c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t="s" s="24">
        <v>37</v>
      </c>
      <c r="B35" s="25">
        <v>9.99</v>
      </c>
      <c r="C35" s="26" cm="1">
        <f t="array" ref="C35">B35/B$2</f>
        <v>0.002775</v>
      </c>
      <c r="D35" s="27" cm="1">
        <f t="array" ref="D35">B35/2</f>
        <v>4.995</v>
      </c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t="s" s="28">
        <v>38</v>
      </c>
      <c r="B36" s="29">
        <v>17.99</v>
      </c>
      <c r="C36" s="30" cm="1">
        <f t="array" ref="C36">B36/B$2</f>
        <v>0.00499722222222222</v>
      </c>
      <c r="D36" s="31" cm="1">
        <f t="array" ref="D36">B36/6</f>
        <v>2.99833333333333</v>
      </c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t="s" s="24">
        <v>39</v>
      </c>
      <c r="B37" s="25">
        <v>2.99</v>
      </c>
      <c r="C37" s="26" cm="1">
        <f t="array" ref="C37">B37/B$2</f>
        <v>0.000830555555555556</v>
      </c>
      <c r="D37" s="27" cm="1">
        <f t="array" ref="D37">B37/2</f>
        <v>1.495</v>
      </c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t="s" s="28">
        <v>40</v>
      </c>
      <c r="B38" s="29">
        <v>9.99</v>
      </c>
      <c r="C38" s="30" cm="1">
        <f t="array" ref="C38">B38/B$2</f>
        <v>0.002775</v>
      </c>
      <c r="D38" s="31" cm="1">
        <f t="array" ref="D38">B38/4</f>
        <v>2.4975</v>
      </c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t="s" s="16">
        <v>11</v>
      </c>
      <c r="B39" s="17" cm="1">
        <f t="array" ref="B39">SUM(B33:B38)</f>
        <v>84.94</v>
      </c>
      <c r="C39" s="18" cm="1">
        <f t="array" ref="C39">B39/B$2</f>
        <v>0.0235944444444444</v>
      </c>
      <c r="D39" s="19" cm="1">
        <f t="array" ref="D39">SUM(D33:D38)</f>
        <v>19.9821666666667</v>
      </c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34"/>
      <c r="B40" s="35"/>
      <c r="C40" s="36"/>
      <c r="D40" s="15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t="s" s="20">
        <v>42</v>
      </c>
      <c r="B41" s="21"/>
      <c r="C41" s="22"/>
      <c r="D41" s="23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t="s" s="28">
        <v>43</v>
      </c>
      <c r="B42" s="29">
        <v>132.48</v>
      </c>
      <c r="C42" s="30" cm="1">
        <f t="array" ref="C42">B42/B$2</f>
        <v>0.0368</v>
      </c>
      <c r="D42" s="31" cm="1">
        <f t="array" ref="D42">B42/2</f>
        <v>66.23999999999999</v>
      </c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t="s" s="24">
        <v>44</v>
      </c>
      <c r="B43" s="25">
        <v>5.28</v>
      </c>
      <c r="C43" s="26" cm="1">
        <f t="array" ref="C43">B43/B$2</f>
        <v>0.00146666666666667</v>
      </c>
      <c r="D43" s="27" cm="1">
        <f t="array" ref="D43">B43/2</f>
        <v>2.64</v>
      </c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t="s" s="28">
        <v>45</v>
      </c>
      <c r="B44" s="29">
        <v>10</v>
      </c>
      <c r="C44" s="30" cm="1">
        <f t="array" ref="C44">B44/B$2</f>
        <v>0.00277777777777778</v>
      </c>
      <c r="D44" s="31" cm="1">
        <f t="array" ref="D44">B44/2</f>
        <v>5</v>
      </c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t="s" s="24">
        <v>46</v>
      </c>
      <c r="B45" s="25">
        <v>0</v>
      </c>
      <c r="C45" s="26" cm="1">
        <f t="array" ref="C45">B45/B$2</f>
        <v>0</v>
      </c>
      <c r="D45" s="27" cm="1">
        <f t="array" ref="D45">B45/2</f>
        <v>0</v>
      </c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t="s" s="16">
        <v>11</v>
      </c>
      <c r="B46" s="17" cm="1">
        <f t="array" ref="B46">SUM(B42:B45)</f>
        <v>147.76</v>
      </c>
      <c r="C46" s="18" cm="1">
        <f t="array" ref="C46">B46/B$2</f>
        <v>0.0410444444444444</v>
      </c>
      <c r="D46" s="19" cm="1">
        <f t="array" ref="D46">SUM(D42:D45)</f>
        <v>73.88</v>
      </c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2"/>
      <c r="B47" s="43"/>
      <c r="C47" s="44"/>
      <c r="D47" s="45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t="s" s="20">
        <v>47</v>
      </c>
      <c r="B48" s="21"/>
      <c r="C48" s="22"/>
      <c r="D48" s="23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t="s" s="24">
        <v>48</v>
      </c>
      <c r="B49" s="25">
        <v>500</v>
      </c>
      <c r="C49" s="26" cm="1">
        <f t="array" ref="C49">B49/B$2</f>
        <v>0.138888888888889</v>
      </c>
      <c r="D49" s="27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t="s" s="28">
        <v>49</v>
      </c>
      <c r="B50" s="29">
        <v>40</v>
      </c>
      <c r="C50" s="30" cm="1">
        <f t="array" ref="C50">B50/B$2</f>
        <v>0.0111111111111111</v>
      </c>
      <c r="D50" s="31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t="s" s="16">
        <v>11</v>
      </c>
      <c r="B51" s="17" cm="1">
        <f t="array" ref="B51">SUM(B49:B50)</f>
        <v>540</v>
      </c>
      <c r="C51" s="18" cm="1">
        <f t="array" ref="C51">B51/B$2</f>
        <v>0.15</v>
      </c>
      <c r="D51" s="19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34"/>
      <c r="B52" s="35"/>
      <c r="C52" s="36"/>
      <c r="D52" s="15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t="s" s="20">
        <v>50</v>
      </c>
      <c r="B53" s="21"/>
      <c r="C53" s="22"/>
      <c r="D53" s="23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t="s" s="28">
        <v>51</v>
      </c>
      <c r="B54" s="29">
        <v>0</v>
      </c>
      <c r="C54" s="30" cm="1">
        <f t="array" ref="C54">B54/B$2</f>
        <v>0</v>
      </c>
      <c r="D54" s="31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2"/>
      <c r="B55" s="43"/>
      <c r="C55" s="44"/>
      <c r="D55" s="45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t="s" s="16">
        <v>21</v>
      </c>
      <c r="B56" s="17" cm="1">
        <f t="array" ref="B56">B11+B25+B30+B39+B46+B51+B54</f>
        <v>2685.088</v>
      </c>
      <c r="C56" s="18" cm="1">
        <f t="array" ref="C56">B56/B$2</f>
        <v>0.745857777777778</v>
      </c>
      <c r="D56" s="19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2"/>
      <c r="B57" s="43"/>
      <c r="C57" s="44"/>
      <c r="D57" s="45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4"/>
      <c r="B58" s="35"/>
      <c r="C58" s="36"/>
      <c r="D58" s="15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t="s" s="46">
        <v>52</v>
      </c>
      <c r="B59" s="47"/>
      <c r="C59" s="48"/>
      <c r="D59" s="49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t="s" s="28">
        <v>53</v>
      </c>
      <c r="B60" s="29" cm="1">
        <f t="array" ref="B60">D5+D6+D7+D8+D9+D10+D33+D34+D35+D36+D37+D38+D42+D43+D44-B29-27.66</f>
        <v>600.192166666667</v>
      </c>
      <c r="C60" s="36"/>
      <c r="D60" s="15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t="s" s="24">
        <v>54</v>
      </c>
      <c r="B61" s="25" cm="1">
        <f t="array" ref="B61">D33+D34+D36+D38</f>
        <v>13.4921666666667</v>
      </c>
      <c r="C61" s="44"/>
      <c r="D61" s="45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t="s" s="28">
        <v>55</v>
      </c>
      <c r="B62" s="29" cm="1">
        <f t="array" ref="B62">D33+D34+D36+D38</f>
        <v>13.4921666666667</v>
      </c>
      <c r="C62" s="36"/>
      <c r="D62" s="15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t="s" s="24">
        <v>56</v>
      </c>
      <c r="B63" s="25">
        <v>38.34</v>
      </c>
      <c r="C63" s="44"/>
      <c r="D63" s="45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t="s" s="28">
        <v>57</v>
      </c>
      <c r="B64" s="29" cm="1">
        <f t="array" ref="B64">D33</f>
        <v>3.99833333333333</v>
      </c>
      <c r="C64" s="36"/>
      <c r="D64" s="15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t="s" s="24">
        <v>58</v>
      </c>
      <c r="B65" s="25" cm="1">
        <f t="array" ref="B65">D34</f>
        <v>3.998</v>
      </c>
      <c r="C65" s="44"/>
      <c r="D65" s="45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t="s" s="28">
        <v>59</v>
      </c>
      <c r="B66" s="29" cm="1">
        <f t="array" ref="B66">D36</f>
        <v>2.99833333333333</v>
      </c>
      <c r="C66" s="36"/>
      <c r="D66" s="15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t="s" s="50">
        <v>21</v>
      </c>
      <c r="B67" s="51" cm="1">
        <f t="array" ref="B67">SUM(B60:B66)</f>
        <v>676.511166666667</v>
      </c>
      <c r="C67" s="52"/>
      <c r="D67" s="53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4"/>
      <c r="B68" s="35"/>
      <c r="C68" s="36"/>
      <c r="D68" s="15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2"/>
      <c r="B69" s="43"/>
      <c r="C69" s="44"/>
      <c r="D69" s="45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t="s" s="54">
        <v>60</v>
      </c>
      <c r="B70" s="55"/>
      <c r="C70" s="56"/>
      <c r="D70" s="57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t="s" s="24">
        <v>61</v>
      </c>
      <c r="B71" s="43" cm="1">
        <f t="array" ref="B71">B56</f>
        <v>2685.088</v>
      </c>
      <c r="C71" s="44"/>
      <c r="D71" s="45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t="s" s="28">
        <v>52</v>
      </c>
      <c r="B72" s="13" cm="1">
        <f t="array" ref="B72">-B67</f>
        <v>-676.511166666667</v>
      </c>
      <c r="C72" s="36"/>
      <c r="D72" s="15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t="s" s="54">
        <v>21</v>
      </c>
      <c r="B73" s="55" cm="1">
        <f t="array" ref="B73">B56-B67</f>
        <v>2008.576833333330</v>
      </c>
      <c r="C73" s="56" cm="1">
        <f t="array" ref="C73">B73/B$2</f>
        <v>0.557938009259258</v>
      </c>
      <c r="D73" s="58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34"/>
      <c r="B74" s="35"/>
      <c r="C74" s="36"/>
      <c r="D74" s="15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t="s" s="59">
        <v>62</v>
      </c>
      <c r="B75" s="60" cm="1">
        <f t="array" ref="B75">B$2-B73</f>
        <v>1591.423166666670</v>
      </c>
      <c r="C75" s="61" cm="1">
        <f t="array" ref="C75">B75/B$2</f>
        <v>0.442061990740742</v>
      </c>
      <c r="D75" s="62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63"/>
      <c r="B76" s="64"/>
      <c r="C76" s="63"/>
      <c r="D76" s="64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65"/>
      <c r="C77" s="11"/>
      <c r="D77" s="65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65"/>
      <c r="C78" s="11"/>
      <c r="D78" s="6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65"/>
      <c r="C79" s="11"/>
      <c r="D79" s="65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65"/>
      <c r="C80" s="11"/>
      <c r="D80" s="6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65"/>
      <c r="C81" s="11"/>
      <c r="D81" s="6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65"/>
      <c r="C82" s="11"/>
      <c r="D82" s="6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65"/>
      <c r="C83" s="11"/>
      <c r="D83" s="65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65"/>
      <c r="C84" s="11"/>
      <c r="D84" s="6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65"/>
      <c r="C85" s="11"/>
      <c r="D85" s="65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65"/>
      <c r="C86" s="11"/>
      <c r="D86" s="65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65"/>
      <c r="C87" s="11"/>
      <c r="D87" s="65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65"/>
      <c r="C88" s="11"/>
      <c r="D88" s="6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65"/>
      <c r="C89" s="11"/>
      <c r="D89" s="65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65"/>
      <c r="C90" s="11"/>
      <c r="D90" s="65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65"/>
      <c r="C91" s="11"/>
      <c r="D91" s="65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65"/>
      <c r="C92" s="11"/>
      <c r="D92" s="6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65"/>
      <c r="C93" s="11"/>
      <c r="D93" s="6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65"/>
      <c r="C94" s="11"/>
      <c r="D94" s="6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65"/>
      <c r="C95" s="11"/>
      <c r="D95" s="6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65"/>
      <c r="C96" s="11"/>
      <c r="D96" s="6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65"/>
      <c r="C97" s="11"/>
      <c r="D97" s="6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65"/>
      <c r="C98" s="11"/>
      <c r="D98" s="65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65"/>
      <c r="C99" s="11"/>
      <c r="D99" s="65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65"/>
      <c r="C100" s="11"/>
      <c r="D100" s="6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65"/>
      <c r="C101" s="11"/>
      <c r="D101" s="6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65"/>
      <c r="C102" s="11"/>
      <c r="D102" s="6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65"/>
      <c r="C103" s="11"/>
      <c r="D103" s="65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65"/>
      <c r="C104" s="11"/>
      <c r="D104" s="6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65"/>
      <c r="C105" s="11"/>
      <c r="D105" s="65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65"/>
      <c r="C106" s="11"/>
      <c r="D106" s="65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65"/>
      <c r="C107" s="11"/>
      <c r="D107" s="65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65"/>
      <c r="C108" s="11"/>
      <c r="D108" s="6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65"/>
      <c r="C109" s="11"/>
      <c r="D109" s="65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65"/>
      <c r="C110" s="11"/>
      <c r="D110" s="6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65"/>
      <c r="C111" s="11"/>
      <c r="D111" s="6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65"/>
      <c r="C112" s="11"/>
      <c r="D112" s="6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65"/>
      <c r="C113" s="11"/>
      <c r="D113" s="65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65"/>
      <c r="C114" s="11"/>
      <c r="D114" s="6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65"/>
      <c r="C115" s="11"/>
      <c r="D115" s="6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65"/>
      <c r="C116" s="11"/>
      <c r="D116" s="6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65"/>
      <c r="C117" s="11"/>
      <c r="D117" s="65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65"/>
      <c r="C118" s="11"/>
      <c r="D118" s="65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65"/>
      <c r="C119" s="11"/>
      <c r="D119" s="65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65"/>
      <c r="C120" s="11"/>
      <c r="D120" s="6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65"/>
      <c r="C121" s="11"/>
      <c r="D121" s="65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65"/>
      <c r="C122" s="11"/>
      <c r="D122" s="65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65"/>
      <c r="C123" s="11"/>
      <c r="D123" s="65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65"/>
      <c r="C124" s="11"/>
      <c r="D124" s="6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65"/>
      <c r="C125" s="11"/>
      <c r="D125" s="65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65"/>
      <c r="C126" s="11"/>
      <c r="D126" s="65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65"/>
      <c r="C127" s="11"/>
      <c r="D127" s="6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65"/>
      <c r="C128" s="11"/>
      <c r="D128" s="6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65"/>
      <c r="C129" s="11"/>
      <c r="D129" s="6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65"/>
      <c r="C130" s="11"/>
      <c r="D130" s="6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65"/>
      <c r="C131" s="11"/>
      <c r="D131" s="6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65"/>
      <c r="C132" s="11"/>
      <c r="D132" s="6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65"/>
      <c r="C133" s="11"/>
      <c r="D133" s="6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65"/>
      <c r="C134" s="11"/>
      <c r="D134" s="6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65"/>
      <c r="C135" s="11"/>
      <c r="D135" s="6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65"/>
      <c r="C136" s="11"/>
      <c r="D136" s="6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65"/>
      <c r="C137" s="11"/>
      <c r="D137" s="6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65"/>
      <c r="C138" s="11"/>
      <c r="D138" s="6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65"/>
      <c r="C139" s="11"/>
      <c r="D139" s="6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65"/>
      <c r="C140" s="11"/>
      <c r="D140" s="6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65"/>
      <c r="C141" s="11"/>
      <c r="D141" s="6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65"/>
      <c r="C142" s="11"/>
      <c r="D142" s="6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65"/>
      <c r="C143" s="11"/>
      <c r="D143" s="6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65"/>
      <c r="C144" s="11"/>
      <c r="D144" s="6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65"/>
      <c r="C145" s="11"/>
      <c r="D145" s="6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65"/>
      <c r="C146" s="11"/>
      <c r="D146" s="6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65"/>
      <c r="C147" s="11"/>
      <c r="D147" s="6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65"/>
      <c r="C148" s="11"/>
      <c r="D148" s="6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65"/>
      <c r="C149" s="11"/>
      <c r="D149" s="6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65"/>
      <c r="C150" s="11"/>
      <c r="D150" s="6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65"/>
      <c r="C151" s="11"/>
      <c r="D151" s="6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65"/>
      <c r="C152" s="11"/>
      <c r="D152" s="6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65"/>
      <c r="C153" s="11"/>
      <c r="D153" s="6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65"/>
      <c r="C154" s="11"/>
      <c r="D154" s="6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65"/>
      <c r="C155" s="11"/>
      <c r="D155" s="6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65"/>
      <c r="C156" s="11"/>
      <c r="D156" s="6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65"/>
      <c r="C157" s="11"/>
      <c r="D157" s="6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65"/>
      <c r="C158" s="11"/>
      <c r="D158" s="6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65"/>
      <c r="C159" s="11"/>
      <c r="D159" s="6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65"/>
      <c r="C160" s="11"/>
      <c r="D160" s="6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65"/>
      <c r="C161" s="11"/>
      <c r="D161" s="6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65"/>
      <c r="C162" s="11"/>
      <c r="D162" s="6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65"/>
      <c r="C163" s="11"/>
      <c r="D163" s="6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65"/>
      <c r="C164" s="11"/>
      <c r="D164" s="6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65"/>
      <c r="C165" s="11"/>
      <c r="D165" s="6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65"/>
      <c r="C166" s="11"/>
      <c r="D166" s="6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65"/>
      <c r="C167" s="11"/>
      <c r="D167" s="6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65"/>
      <c r="C168" s="11"/>
      <c r="D168" s="6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65"/>
      <c r="C169" s="11"/>
      <c r="D169" s="6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65"/>
      <c r="C170" s="11"/>
      <c r="D170" s="6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65"/>
      <c r="C171" s="11"/>
      <c r="D171" s="6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65"/>
      <c r="C172" s="11"/>
      <c r="D172" s="6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65"/>
      <c r="C173" s="11"/>
      <c r="D173" s="6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65"/>
      <c r="C174" s="11"/>
      <c r="D174" s="6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65"/>
      <c r="C175" s="11"/>
      <c r="D175" s="6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65"/>
      <c r="C176" s="11"/>
      <c r="D176" s="6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65"/>
      <c r="C177" s="11"/>
      <c r="D177" s="6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65"/>
      <c r="C178" s="11"/>
      <c r="D178" s="6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65"/>
      <c r="C179" s="11"/>
      <c r="D179" s="6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65"/>
      <c r="C180" s="11"/>
      <c r="D180" s="6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65"/>
      <c r="C181" s="11"/>
      <c r="D181" s="6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65"/>
      <c r="C182" s="11"/>
      <c r="D182" s="6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65"/>
      <c r="C183" s="11"/>
      <c r="D183" s="6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65"/>
      <c r="C184" s="11"/>
      <c r="D184" s="6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65"/>
      <c r="C185" s="11"/>
      <c r="D185" s="6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65"/>
      <c r="C186" s="11"/>
      <c r="D186" s="6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65"/>
      <c r="C187" s="11"/>
      <c r="D187" s="6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65"/>
      <c r="C188" s="11"/>
      <c r="D188" s="6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65"/>
      <c r="C189" s="11"/>
      <c r="D189" s="6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65"/>
      <c r="C190" s="11"/>
      <c r="D190" s="6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65"/>
      <c r="C191" s="11"/>
      <c r="D191" s="6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65"/>
      <c r="C192" s="11"/>
      <c r="D192" s="6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65"/>
      <c r="C193" s="11"/>
      <c r="D193" s="6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65"/>
      <c r="C194" s="11"/>
      <c r="D194" s="6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65"/>
      <c r="C195" s="11"/>
      <c r="D195" s="6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65"/>
      <c r="C196" s="11"/>
      <c r="D196" s="6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65"/>
      <c r="C197" s="11"/>
      <c r="D197" s="6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65"/>
      <c r="C198" s="11"/>
      <c r="D198" s="6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65"/>
      <c r="C199" s="11"/>
      <c r="D199" s="6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65"/>
      <c r="C200" s="11"/>
      <c r="D200" s="6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65"/>
      <c r="C201" s="11"/>
      <c r="D201" s="6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65"/>
      <c r="C202" s="11"/>
      <c r="D202" s="6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65"/>
      <c r="C203" s="11"/>
      <c r="D203" s="6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65"/>
      <c r="C204" s="11"/>
      <c r="D204" s="6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65"/>
      <c r="C205" s="11"/>
      <c r="D205" s="6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65"/>
      <c r="C206" s="11"/>
      <c r="D206" s="6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65"/>
      <c r="C207" s="11"/>
      <c r="D207" s="6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65"/>
      <c r="C208" s="11"/>
      <c r="D208" s="6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65"/>
      <c r="C209" s="11"/>
      <c r="D209" s="6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65"/>
      <c r="C210" s="11"/>
      <c r="D210" s="6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65"/>
      <c r="C211" s="11"/>
      <c r="D211" s="6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65"/>
      <c r="C212" s="11"/>
      <c r="D212" s="6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65"/>
      <c r="C213" s="11"/>
      <c r="D213" s="6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65"/>
      <c r="C214" s="11"/>
      <c r="D214" s="6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65"/>
      <c r="C215" s="11"/>
      <c r="D215" s="6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65"/>
      <c r="C216" s="11"/>
      <c r="D216" s="6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65"/>
      <c r="C217" s="11"/>
      <c r="D217" s="6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65"/>
      <c r="C218" s="11"/>
      <c r="D218" s="6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65"/>
      <c r="C219" s="11"/>
      <c r="D219" s="6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65"/>
      <c r="C220" s="11"/>
      <c r="D220" s="6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65"/>
      <c r="C221" s="11"/>
      <c r="D221" s="6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65"/>
      <c r="C222" s="11"/>
      <c r="D222" s="6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65"/>
      <c r="C223" s="11"/>
      <c r="D223" s="6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65"/>
      <c r="C224" s="11"/>
      <c r="D224" s="6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65"/>
      <c r="C225" s="11"/>
      <c r="D225" s="6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65"/>
      <c r="C226" s="11"/>
      <c r="D226" s="6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65"/>
      <c r="C227" s="11"/>
      <c r="D227" s="6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65"/>
      <c r="C228" s="11"/>
      <c r="D228" s="6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65"/>
      <c r="C229" s="11"/>
      <c r="D229" s="6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65"/>
      <c r="C230" s="11"/>
      <c r="D230" s="6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65"/>
      <c r="C231" s="11"/>
      <c r="D231" s="6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65"/>
      <c r="C232" s="11"/>
      <c r="D232" s="6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65"/>
      <c r="C233" s="11"/>
      <c r="D233" s="6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65"/>
      <c r="C234" s="11"/>
      <c r="D234" s="6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65"/>
      <c r="C235" s="11"/>
      <c r="D235" s="6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65"/>
      <c r="C236" s="11"/>
      <c r="D236" s="6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65"/>
      <c r="C237" s="11"/>
      <c r="D237" s="6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65"/>
      <c r="C238" s="11"/>
      <c r="D238" s="6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65"/>
      <c r="C239" s="11"/>
      <c r="D239" s="6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65"/>
      <c r="C240" s="11"/>
      <c r="D240" s="6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65"/>
      <c r="C241" s="11"/>
      <c r="D241" s="6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65"/>
      <c r="C242" s="11"/>
      <c r="D242" s="6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65"/>
      <c r="C243" s="11"/>
      <c r="D243" s="6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65"/>
      <c r="C244" s="11"/>
      <c r="D244" s="6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65"/>
      <c r="C245" s="11"/>
      <c r="D245" s="6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65"/>
      <c r="C246" s="11"/>
      <c r="D246" s="6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65"/>
      <c r="C247" s="11"/>
      <c r="D247" s="6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65"/>
      <c r="C248" s="11"/>
      <c r="D248" s="6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65"/>
      <c r="C249" s="11"/>
      <c r="D249" s="6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65"/>
      <c r="C250" s="11"/>
      <c r="D250" s="6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65"/>
      <c r="C251" s="11"/>
      <c r="D251" s="6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65"/>
      <c r="C252" s="11"/>
      <c r="D252" s="6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65"/>
      <c r="C253" s="11"/>
      <c r="D253" s="6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65"/>
      <c r="C254" s="11"/>
      <c r="D254" s="6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65"/>
      <c r="C255" s="11"/>
      <c r="D255" s="6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65"/>
      <c r="C256" s="11"/>
      <c r="D256" s="6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65"/>
      <c r="C257" s="11"/>
      <c r="D257" s="6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65"/>
      <c r="C258" s="11"/>
      <c r="D258" s="6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65"/>
      <c r="C259" s="11"/>
      <c r="D259" s="6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65"/>
      <c r="C260" s="11"/>
      <c r="D260" s="6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65"/>
      <c r="C261" s="11"/>
      <c r="D261" s="6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65"/>
      <c r="C262" s="11"/>
      <c r="D262" s="6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65"/>
      <c r="C263" s="11"/>
      <c r="D263" s="6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65"/>
      <c r="C264" s="11"/>
      <c r="D264" s="6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65"/>
      <c r="C265" s="11"/>
      <c r="D265" s="6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65"/>
      <c r="C266" s="11"/>
      <c r="D266" s="6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65"/>
      <c r="C267" s="11"/>
      <c r="D267" s="6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65"/>
      <c r="C268" s="11"/>
      <c r="D268" s="6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65"/>
      <c r="C269" s="11"/>
      <c r="D269" s="6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65"/>
      <c r="C270" s="11"/>
      <c r="D270" s="6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65"/>
      <c r="C271" s="11"/>
      <c r="D271" s="6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65"/>
      <c r="C272" s="11"/>
      <c r="D272" s="6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65"/>
      <c r="C273" s="11"/>
      <c r="D273" s="6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65"/>
      <c r="C274" s="11"/>
      <c r="D274" s="6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65"/>
      <c r="C275" s="11"/>
      <c r="D275" s="6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65"/>
      <c r="C276" s="11"/>
      <c r="D276" s="6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65"/>
      <c r="C277" s="11"/>
      <c r="D277" s="6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65"/>
      <c r="C278" s="11"/>
      <c r="D278" s="6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65"/>
      <c r="C279" s="11"/>
      <c r="D279" s="6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65"/>
      <c r="C280" s="11"/>
      <c r="D280" s="6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65"/>
      <c r="C281" s="11"/>
      <c r="D281" s="6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65"/>
      <c r="C282" s="11"/>
      <c r="D282" s="6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65"/>
      <c r="C283" s="11"/>
      <c r="D283" s="6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65"/>
      <c r="C284" s="11"/>
      <c r="D284" s="6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65"/>
      <c r="C285" s="11"/>
      <c r="D285" s="6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65"/>
      <c r="C286" s="11"/>
      <c r="D286" s="6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65"/>
      <c r="C287" s="11"/>
      <c r="D287" s="6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65"/>
      <c r="C288" s="11"/>
      <c r="D288" s="6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65"/>
      <c r="C289" s="11"/>
      <c r="D289" s="6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65"/>
      <c r="C290" s="11"/>
      <c r="D290" s="6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65"/>
      <c r="C291" s="11"/>
      <c r="D291" s="6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65"/>
      <c r="C292" s="11"/>
      <c r="D292" s="6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65"/>
      <c r="C293" s="11"/>
      <c r="D293" s="6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65"/>
      <c r="C294" s="11"/>
      <c r="D294" s="6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65"/>
      <c r="C295" s="11"/>
      <c r="D295" s="6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65"/>
      <c r="C296" s="11"/>
      <c r="D296" s="6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65"/>
      <c r="C297" s="11"/>
      <c r="D297" s="6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65"/>
      <c r="C298" s="11"/>
      <c r="D298" s="6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65"/>
      <c r="C299" s="11"/>
      <c r="D299" s="6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65"/>
      <c r="C300" s="11"/>
      <c r="D300" s="6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65"/>
      <c r="C301" s="11"/>
      <c r="D301" s="6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65"/>
      <c r="C302" s="11"/>
      <c r="D302" s="6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65"/>
      <c r="C303" s="11"/>
      <c r="D303" s="6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65"/>
      <c r="C304" s="11"/>
      <c r="D304" s="6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65"/>
      <c r="C305" s="11"/>
      <c r="D305" s="6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65"/>
      <c r="C306" s="11"/>
      <c r="D306" s="6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65"/>
      <c r="C307" s="11"/>
      <c r="D307" s="6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65"/>
      <c r="C308" s="11"/>
      <c r="D308" s="6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65"/>
      <c r="C309" s="11"/>
      <c r="D309" s="6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65"/>
      <c r="C310" s="11"/>
      <c r="D310" s="6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65"/>
      <c r="C311" s="11"/>
      <c r="D311" s="6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65"/>
      <c r="C312" s="11"/>
      <c r="D312" s="6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65"/>
      <c r="C313" s="11"/>
      <c r="D313" s="6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65"/>
      <c r="C314" s="11"/>
      <c r="D314" s="6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65"/>
      <c r="C315" s="11"/>
      <c r="D315" s="6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65"/>
      <c r="C316" s="11"/>
      <c r="D316" s="6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65"/>
      <c r="C317" s="11"/>
      <c r="D317" s="6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65"/>
      <c r="C318" s="11"/>
      <c r="D318" s="6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65"/>
      <c r="C319" s="11"/>
      <c r="D319" s="6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65"/>
      <c r="C320" s="11"/>
      <c r="D320" s="6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65"/>
      <c r="C321" s="11"/>
      <c r="D321" s="6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65"/>
      <c r="C322" s="11"/>
      <c r="D322" s="6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65"/>
      <c r="C323" s="11"/>
      <c r="D323" s="6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65"/>
      <c r="C324" s="11"/>
      <c r="D324" s="6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65"/>
      <c r="C325" s="11"/>
      <c r="D325" s="6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65"/>
      <c r="C326" s="11"/>
      <c r="D326" s="6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65"/>
      <c r="C327" s="11"/>
      <c r="D327" s="6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65"/>
      <c r="C328" s="11"/>
      <c r="D328" s="6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65"/>
      <c r="C329" s="11"/>
      <c r="D329" s="6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65"/>
      <c r="C330" s="11"/>
      <c r="D330" s="6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65"/>
      <c r="C331" s="11"/>
      <c r="D331" s="6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65"/>
      <c r="C332" s="11"/>
      <c r="D332" s="6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65"/>
      <c r="C333" s="11"/>
      <c r="D333" s="6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65"/>
      <c r="C334" s="11"/>
      <c r="D334" s="6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65"/>
      <c r="C335" s="11"/>
      <c r="D335" s="6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65"/>
      <c r="C336" s="11"/>
      <c r="D336" s="6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65"/>
      <c r="C337" s="11"/>
      <c r="D337" s="6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65"/>
      <c r="C338" s="11"/>
      <c r="D338" s="6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65"/>
      <c r="C339" s="11"/>
      <c r="D339" s="6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65"/>
      <c r="C340" s="11"/>
      <c r="D340" s="6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65"/>
      <c r="C341" s="11"/>
      <c r="D341" s="6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65"/>
      <c r="C342" s="11"/>
      <c r="D342" s="6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65"/>
      <c r="C343" s="11"/>
      <c r="D343" s="6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65"/>
      <c r="C344" s="11"/>
      <c r="D344" s="6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65"/>
      <c r="C345" s="11"/>
      <c r="D345" s="6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65"/>
      <c r="C346" s="11"/>
      <c r="D346" s="6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65"/>
      <c r="C347" s="11"/>
      <c r="D347" s="6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65"/>
      <c r="C348" s="11"/>
      <c r="D348" s="6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65"/>
      <c r="C349" s="11"/>
      <c r="D349" s="6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65"/>
      <c r="C350" s="11"/>
      <c r="D350" s="6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65"/>
      <c r="C351" s="11"/>
      <c r="D351" s="6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65"/>
      <c r="C352" s="11"/>
      <c r="D352" s="6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65"/>
      <c r="C353" s="11"/>
      <c r="D353" s="6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65"/>
      <c r="C354" s="11"/>
      <c r="D354" s="6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65"/>
      <c r="C355" s="11"/>
      <c r="D355" s="6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65"/>
      <c r="C356" s="11"/>
      <c r="D356" s="6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65"/>
      <c r="C357" s="11"/>
      <c r="D357" s="6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65"/>
      <c r="C358" s="11"/>
      <c r="D358" s="6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65"/>
      <c r="C359" s="11"/>
      <c r="D359" s="6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65"/>
      <c r="C360" s="11"/>
      <c r="D360" s="6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65"/>
      <c r="C361" s="11"/>
      <c r="D361" s="6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65"/>
      <c r="C362" s="11"/>
      <c r="D362" s="6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65"/>
      <c r="C363" s="11"/>
      <c r="D363" s="6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65"/>
      <c r="C364" s="11"/>
      <c r="D364" s="6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65"/>
      <c r="C365" s="11"/>
      <c r="D365" s="6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65"/>
      <c r="C366" s="11"/>
      <c r="D366" s="6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65"/>
      <c r="C367" s="11"/>
      <c r="D367" s="6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65"/>
      <c r="C368" s="11"/>
      <c r="D368" s="6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65"/>
      <c r="C369" s="11"/>
      <c r="D369" s="6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65"/>
      <c r="C370" s="11"/>
      <c r="D370" s="6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65"/>
      <c r="C371" s="11"/>
      <c r="D371" s="6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65"/>
      <c r="C372" s="11"/>
      <c r="D372" s="6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65"/>
      <c r="C373" s="11"/>
      <c r="D373" s="6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65"/>
      <c r="C374" s="11"/>
      <c r="D374" s="6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65"/>
      <c r="C375" s="11"/>
      <c r="D375" s="6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65"/>
      <c r="C376" s="11"/>
      <c r="D376" s="6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65"/>
      <c r="C377" s="11"/>
      <c r="D377" s="6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65"/>
      <c r="C378" s="11"/>
      <c r="D378" s="6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65"/>
      <c r="C379" s="11"/>
      <c r="D379" s="6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65"/>
      <c r="C380" s="11"/>
      <c r="D380" s="6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65"/>
      <c r="C381" s="11"/>
      <c r="D381" s="6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65"/>
      <c r="C382" s="11"/>
      <c r="D382" s="6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65"/>
      <c r="C383" s="11"/>
      <c r="D383" s="6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65"/>
      <c r="C384" s="11"/>
      <c r="D384" s="6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65"/>
      <c r="C385" s="11"/>
      <c r="D385" s="6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65"/>
      <c r="C386" s="11"/>
      <c r="D386" s="6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65"/>
      <c r="C387" s="11"/>
      <c r="D387" s="6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65"/>
      <c r="C388" s="11"/>
      <c r="D388" s="6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65"/>
      <c r="C389" s="11"/>
      <c r="D389" s="6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65"/>
      <c r="C390" s="11"/>
      <c r="D390" s="6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65"/>
      <c r="C391" s="11"/>
      <c r="D391" s="6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65"/>
      <c r="C392" s="11"/>
      <c r="D392" s="6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65"/>
      <c r="C393" s="11"/>
      <c r="D393" s="6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65"/>
      <c r="C394" s="11"/>
      <c r="D394" s="6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65"/>
      <c r="C395" s="11"/>
      <c r="D395" s="6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65"/>
      <c r="C396" s="11"/>
      <c r="D396" s="6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65"/>
      <c r="C397" s="11"/>
      <c r="D397" s="6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65"/>
      <c r="C398" s="11"/>
      <c r="D398" s="6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65"/>
      <c r="C399" s="11"/>
      <c r="D399" s="6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65"/>
      <c r="C400" s="11"/>
      <c r="D400" s="6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65"/>
      <c r="C401" s="11"/>
      <c r="D401" s="6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65"/>
      <c r="C402" s="11"/>
      <c r="D402" s="6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65"/>
      <c r="C403" s="11"/>
      <c r="D403" s="6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65"/>
      <c r="C404" s="11"/>
      <c r="D404" s="6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65"/>
      <c r="C405" s="11"/>
      <c r="D405" s="6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65"/>
      <c r="C406" s="11"/>
      <c r="D406" s="6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65"/>
      <c r="C407" s="11"/>
      <c r="D407" s="6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65"/>
      <c r="C408" s="11"/>
      <c r="D408" s="6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65"/>
      <c r="C409" s="11"/>
      <c r="D409" s="6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65"/>
      <c r="C410" s="11"/>
      <c r="D410" s="6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65"/>
      <c r="C411" s="11"/>
      <c r="D411" s="6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65"/>
      <c r="C412" s="11"/>
      <c r="D412" s="6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65"/>
      <c r="C413" s="11"/>
      <c r="D413" s="6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65"/>
      <c r="C414" s="11"/>
      <c r="D414" s="6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65"/>
      <c r="C415" s="11"/>
      <c r="D415" s="6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65"/>
      <c r="C416" s="11"/>
      <c r="D416" s="6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65"/>
      <c r="C417" s="11"/>
      <c r="D417" s="6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65"/>
      <c r="C418" s="11"/>
      <c r="D418" s="6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65"/>
      <c r="C419" s="11"/>
      <c r="D419" s="6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65"/>
      <c r="C420" s="11"/>
      <c r="D420" s="6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65"/>
      <c r="C421" s="11"/>
      <c r="D421" s="6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65"/>
      <c r="C422" s="11"/>
      <c r="D422" s="6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65"/>
      <c r="C423" s="11"/>
      <c r="D423" s="6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65"/>
      <c r="C424" s="11"/>
      <c r="D424" s="6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65"/>
      <c r="C425" s="11"/>
      <c r="D425" s="6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65"/>
      <c r="C426" s="11"/>
      <c r="D426" s="6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65"/>
      <c r="C427" s="11"/>
      <c r="D427" s="6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65"/>
      <c r="C428" s="11"/>
      <c r="D428" s="6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65"/>
      <c r="C429" s="11"/>
      <c r="D429" s="6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65"/>
      <c r="C430" s="11"/>
      <c r="D430" s="6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65"/>
      <c r="C431" s="11"/>
      <c r="D431" s="6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65"/>
      <c r="C432" s="11"/>
      <c r="D432" s="6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65"/>
      <c r="C433" s="11"/>
      <c r="D433" s="6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65"/>
      <c r="C434" s="11"/>
      <c r="D434" s="6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65"/>
      <c r="C435" s="11"/>
      <c r="D435" s="6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65"/>
      <c r="C436" s="11"/>
      <c r="D436" s="6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65"/>
      <c r="C437" s="11"/>
      <c r="D437" s="6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65"/>
      <c r="C438" s="11"/>
      <c r="D438" s="6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65"/>
      <c r="C439" s="11"/>
      <c r="D439" s="6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65"/>
      <c r="C440" s="11"/>
      <c r="D440" s="6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65"/>
      <c r="C441" s="11"/>
      <c r="D441" s="6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65"/>
      <c r="C442" s="11"/>
      <c r="D442" s="6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65"/>
      <c r="C443" s="11"/>
      <c r="D443" s="6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65"/>
      <c r="C444" s="11"/>
      <c r="D444" s="6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65"/>
      <c r="C445" s="11"/>
      <c r="D445" s="6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65"/>
      <c r="C446" s="11"/>
      <c r="D446" s="6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65"/>
      <c r="C447" s="11"/>
      <c r="D447" s="6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65"/>
      <c r="C448" s="11"/>
      <c r="D448" s="6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65"/>
      <c r="C449" s="11"/>
      <c r="D449" s="6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65"/>
      <c r="C450" s="11"/>
      <c r="D450" s="6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65"/>
      <c r="C451" s="11"/>
      <c r="D451" s="6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65"/>
      <c r="C452" s="11"/>
      <c r="D452" s="6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65"/>
      <c r="C453" s="11"/>
      <c r="D453" s="6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65"/>
      <c r="C454" s="11"/>
      <c r="D454" s="6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65"/>
      <c r="C455" s="11"/>
      <c r="D455" s="6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65"/>
      <c r="C456" s="11"/>
      <c r="D456" s="6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65"/>
      <c r="C457" s="11"/>
      <c r="D457" s="6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65"/>
      <c r="C458" s="11"/>
      <c r="D458" s="6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65"/>
      <c r="C459" s="11"/>
      <c r="D459" s="6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65"/>
      <c r="C460" s="11"/>
      <c r="D460" s="6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65"/>
      <c r="C461" s="11"/>
      <c r="D461" s="6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65"/>
      <c r="C462" s="11"/>
      <c r="D462" s="6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65"/>
      <c r="C463" s="11"/>
      <c r="D463" s="6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65"/>
      <c r="C464" s="11"/>
      <c r="D464" s="6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65"/>
      <c r="C465" s="11"/>
      <c r="D465" s="6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65"/>
      <c r="C466" s="11"/>
      <c r="D466" s="6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65"/>
      <c r="C467" s="11"/>
      <c r="D467" s="6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65"/>
      <c r="C468" s="11"/>
      <c r="D468" s="6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65"/>
      <c r="C469" s="11"/>
      <c r="D469" s="6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65"/>
      <c r="C470" s="11"/>
      <c r="D470" s="6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65"/>
      <c r="C471" s="11"/>
      <c r="D471" s="6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65"/>
      <c r="C472" s="11"/>
      <c r="D472" s="6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65"/>
      <c r="C473" s="11"/>
      <c r="D473" s="6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65"/>
      <c r="C474" s="11"/>
      <c r="D474" s="6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65"/>
      <c r="C475" s="11"/>
      <c r="D475" s="6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65"/>
      <c r="C476" s="11"/>
      <c r="D476" s="6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65"/>
      <c r="C477" s="11"/>
      <c r="D477" s="6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65"/>
      <c r="C478" s="11"/>
      <c r="D478" s="6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65"/>
      <c r="C479" s="11"/>
      <c r="D479" s="6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65"/>
      <c r="C480" s="11"/>
      <c r="D480" s="6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65"/>
      <c r="C481" s="11"/>
      <c r="D481" s="6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65"/>
      <c r="C482" s="11"/>
      <c r="D482" s="6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65"/>
      <c r="C483" s="11"/>
      <c r="D483" s="6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65"/>
      <c r="C484" s="11"/>
      <c r="D484" s="6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65"/>
      <c r="C485" s="11"/>
      <c r="D485" s="6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65"/>
      <c r="C486" s="11"/>
      <c r="D486" s="6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65"/>
      <c r="C487" s="11"/>
      <c r="D487" s="6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65"/>
      <c r="C488" s="11"/>
      <c r="D488" s="6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65"/>
      <c r="C489" s="11"/>
      <c r="D489" s="6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65"/>
      <c r="C490" s="11"/>
      <c r="D490" s="6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65"/>
      <c r="C491" s="11"/>
      <c r="D491" s="6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65"/>
      <c r="C492" s="11"/>
      <c r="D492" s="6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65"/>
      <c r="C493" s="11"/>
      <c r="D493" s="6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65"/>
      <c r="C494" s="11"/>
      <c r="D494" s="6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65"/>
      <c r="C495" s="11"/>
      <c r="D495" s="6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65"/>
      <c r="C496" s="11"/>
      <c r="D496" s="6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65"/>
      <c r="C497" s="11"/>
      <c r="D497" s="6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65"/>
      <c r="C498" s="11"/>
      <c r="D498" s="6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65"/>
      <c r="C499" s="11"/>
      <c r="D499" s="6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65"/>
      <c r="C500" s="11"/>
      <c r="D500" s="6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65"/>
      <c r="C501" s="11"/>
      <c r="D501" s="6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65"/>
      <c r="C502" s="11"/>
      <c r="D502" s="6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65"/>
      <c r="C503" s="11"/>
      <c r="D503" s="6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65"/>
      <c r="C504" s="11"/>
      <c r="D504" s="6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65"/>
      <c r="C505" s="11"/>
      <c r="D505" s="6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65"/>
      <c r="C506" s="11"/>
      <c r="D506" s="6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65"/>
      <c r="C507" s="11"/>
      <c r="D507" s="6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65"/>
      <c r="C508" s="11"/>
      <c r="D508" s="6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65"/>
      <c r="C509" s="11"/>
      <c r="D509" s="6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65"/>
      <c r="C510" s="11"/>
      <c r="D510" s="6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65"/>
      <c r="C511" s="11"/>
      <c r="D511" s="6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65"/>
      <c r="C512" s="11"/>
      <c r="D512" s="6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65"/>
      <c r="C513" s="11"/>
      <c r="D513" s="6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65"/>
      <c r="C514" s="11"/>
      <c r="D514" s="6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65"/>
      <c r="C515" s="11"/>
      <c r="D515" s="6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65"/>
      <c r="C516" s="11"/>
      <c r="D516" s="6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65"/>
      <c r="C517" s="11"/>
      <c r="D517" s="6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65"/>
      <c r="C518" s="11"/>
      <c r="D518" s="6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65"/>
      <c r="C519" s="11"/>
      <c r="D519" s="6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65"/>
      <c r="C520" s="11"/>
      <c r="D520" s="6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65"/>
      <c r="C521" s="11"/>
      <c r="D521" s="6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65"/>
      <c r="C522" s="11"/>
      <c r="D522" s="6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65"/>
      <c r="C523" s="11"/>
      <c r="D523" s="6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65"/>
      <c r="C524" s="11"/>
      <c r="D524" s="6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65"/>
      <c r="C525" s="11"/>
      <c r="D525" s="6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65"/>
      <c r="C526" s="11"/>
      <c r="D526" s="6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65"/>
      <c r="C527" s="11"/>
      <c r="D527" s="6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65"/>
      <c r="C528" s="11"/>
      <c r="D528" s="6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65"/>
      <c r="C529" s="11"/>
      <c r="D529" s="6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65"/>
      <c r="C530" s="11"/>
      <c r="D530" s="6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65"/>
      <c r="C531" s="11"/>
      <c r="D531" s="6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65"/>
      <c r="C532" s="11"/>
      <c r="D532" s="6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65"/>
      <c r="C533" s="11"/>
      <c r="D533" s="6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65"/>
      <c r="C534" s="11"/>
      <c r="D534" s="6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65"/>
      <c r="C535" s="11"/>
      <c r="D535" s="6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65"/>
      <c r="C536" s="11"/>
      <c r="D536" s="6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65"/>
      <c r="C537" s="11"/>
      <c r="D537" s="6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65"/>
      <c r="C538" s="11"/>
      <c r="D538" s="6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65"/>
      <c r="C539" s="11"/>
      <c r="D539" s="6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65"/>
      <c r="C540" s="11"/>
      <c r="D540" s="6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65"/>
      <c r="C541" s="11"/>
      <c r="D541" s="6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65"/>
      <c r="C542" s="11"/>
      <c r="D542" s="6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65"/>
      <c r="C543" s="11"/>
      <c r="D543" s="6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65"/>
      <c r="C544" s="11"/>
      <c r="D544" s="6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65"/>
      <c r="C545" s="11"/>
      <c r="D545" s="6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65"/>
      <c r="C546" s="11"/>
      <c r="D546" s="6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65"/>
      <c r="C547" s="11"/>
      <c r="D547" s="6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65"/>
      <c r="C548" s="11"/>
      <c r="D548" s="6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65"/>
      <c r="C549" s="11"/>
      <c r="D549" s="6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65"/>
      <c r="C550" s="11"/>
      <c r="D550" s="6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65"/>
      <c r="C551" s="11"/>
      <c r="D551" s="6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65"/>
      <c r="C552" s="11"/>
      <c r="D552" s="6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65"/>
      <c r="C553" s="11"/>
      <c r="D553" s="6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65"/>
      <c r="C554" s="11"/>
      <c r="D554" s="6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65"/>
      <c r="C555" s="11"/>
      <c r="D555" s="6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65"/>
      <c r="C556" s="11"/>
      <c r="D556" s="6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65"/>
      <c r="C557" s="11"/>
      <c r="D557" s="6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65"/>
      <c r="C558" s="11"/>
      <c r="D558" s="6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65"/>
      <c r="C559" s="11"/>
      <c r="D559" s="6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65"/>
      <c r="C560" s="11"/>
      <c r="D560" s="6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65"/>
      <c r="C561" s="11"/>
      <c r="D561" s="6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65"/>
      <c r="C562" s="11"/>
      <c r="D562" s="6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65"/>
      <c r="C563" s="11"/>
      <c r="D563" s="6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65"/>
      <c r="C564" s="11"/>
      <c r="D564" s="6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65"/>
      <c r="C565" s="11"/>
      <c r="D565" s="6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65"/>
      <c r="C566" s="11"/>
      <c r="D566" s="6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65"/>
      <c r="C567" s="11"/>
      <c r="D567" s="6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65"/>
      <c r="C568" s="11"/>
      <c r="D568" s="6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65"/>
      <c r="C569" s="11"/>
      <c r="D569" s="6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65"/>
      <c r="C570" s="11"/>
      <c r="D570" s="6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65"/>
      <c r="C571" s="11"/>
      <c r="D571" s="6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65"/>
      <c r="C572" s="11"/>
      <c r="D572" s="6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65"/>
      <c r="C573" s="11"/>
      <c r="D573" s="6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65"/>
      <c r="C574" s="11"/>
      <c r="D574" s="6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65"/>
      <c r="C575" s="11"/>
      <c r="D575" s="6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65"/>
      <c r="C576" s="11"/>
      <c r="D576" s="6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65"/>
      <c r="C577" s="11"/>
      <c r="D577" s="6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65"/>
      <c r="C578" s="11"/>
      <c r="D578" s="6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65"/>
      <c r="C579" s="11"/>
      <c r="D579" s="6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65"/>
      <c r="C580" s="11"/>
      <c r="D580" s="6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65"/>
      <c r="C581" s="11"/>
      <c r="D581" s="6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65"/>
      <c r="C582" s="11"/>
      <c r="D582" s="6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65"/>
      <c r="C583" s="11"/>
      <c r="D583" s="6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65"/>
      <c r="C584" s="11"/>
      <c r="D584" s="6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65"/>
      <c r="C585" s="11"/>
      <c r="D585" s="6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65"/>
      <c r="C586" s="11"/>
      <c r="D586" s="6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65"/>
      <c r="C587" s="11"/>
      <c r="D587" s="6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65"/>
      <c r="C588" s="11"/>
      <c r="D588" s="6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65"/>
      <c r="C589" s="11"/>
      <c r="D589" s="6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65"/>
      <c r="C590" s="11"/>
      <c r="D590" s="6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65"/>
      <c r="C591" s="11"/>
      <c r="D591" s="6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65"/>
      <c r="C592" s="11"/>
      <c r="D592" s="6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65"/>
      <c r="C593" s="11"/>
      <c r="D593" s="6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65"/>
      <c r="C594" s="11"/>
      <c r="D594" s="6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65"/>
      <c r="C595" s="11"/>
      <c r="D595" s="6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65"/>
      <c r="C596" s="11"/>
      <c r="D596" s="6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65"/>
      <c r="C597" s="11"/>
      <c r="D597" s="6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65"/>
      <c r="C598" s="11"/>
      <c r="D598" s="6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65"/>
      <c r="C599" s="11"/>
      <c r="D599" s="6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65"/>
      <c r="C600" s="11"/>
      <c r="D600" s="6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65"/>
      <c r="C601" s="11"/>
      <c r="D601" s="6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65"/>
      <c r="C602" s="11"/>
      <c r="D602" s="6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65"/>
      <c r="C603" s="11"/>
      <c r="D603" s="6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65"/>
      <c r="C604" s="11"/>
      <c r="D604" s="6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65"/>
      <c r="C605" s="11"/>
      <c r="D605" s="6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65"/>
      <c r="C606" s="11"/>
      <c r="D606" s="6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65"/>
      <c r="C607" s="11"/>
      <c r="D607" s="6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65"/>
      <c r="C608" s="11"/>
      <c r="D608" s="6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65"/>
      <c r="C609" s="11"/>
      <c r="D609" s="6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65"/>
      <c r="C610" s="11"/>
      <c r="D610" s="6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65"/>
      <c r="C611" s="11"/>
      <c r="D611" s="6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65"/>
      <c r="C612" s="11"/>
      <c r="D612" s="6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65"/>
      <c r="C613" s="11"/>
      <c r="D613" s="6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65"/>
      <c r="C614" s="11"/>
      <c r="D614" s="6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65"/>
      <c r="C615" s="11"/>
      <c r="D615" s="6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65"/>
      <c r="C616" s="11"/>
      <c r="D616" s="6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65"/>
      <c r="C617" s="11"/>
      <c r="D617" s="6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65"/>
      <c r="C618" s="11"/>
      <c r="D618" s="6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65"/>
      <c r="C619" s="11"/>
      <c r="D619" s="6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65"/>
      <c r="C620" s="11"/>
      <c r="D620" s="6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65"/>
      <c r="C621" s="11"/>
      <c r="D621" s="6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65"/>
      <c r="C622" s="11"/>
      <c r="D622" s="6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65"/>
      <c r="C623" s="11"/>
      <c r="D623" s="6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65"/>
      <c r="C624" s="11"/>
      <c r="D624" s="6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65"/>
      <c r="C625" s="11"/>
      <c r="D625" s="6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65"/>
      <c r="C626" s="11"/>
      <c r="D626" s="6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65"/>
      <c r="C627" s="11"/>
      <c r="D627" s="6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65"/>
      <c r="C628" s="11"/>
      <c r="D628" s="6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65"/>
      <c r="C629" s="11"/>
      <c r="D629" s="6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65"/>
      <c r="C630" s="11"/>
      <c r="D630" s="6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65"/>
      <c r="C631" s="11"/>
      <c r="D631" s="6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65"/>
      <c r="C632" s="11"/>
      <c r="D632" s="6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65"/>
      <c r="C633" s="11"/>
      <c r="D633" s="6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65"/>
      <c r="C634" s="11"/>
      <c r="D634" s="6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65"/>
      <c r="C635" s="11"/>
      <c r="D635" s="6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65"/>
      <c r="C636" s="11"/>
      <c r="D636" s="6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65"/>
      <c r="C637" s="11"/>
      <c r="D637" s="6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65"/>
      <c r="C638" s="11"/>
      <c r="D638" s="6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65"/>
      <c r="C639" s="11"/>
      <c r="D639" s="6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65"/>
      <c r="C640" s="11"/>
      <c r="D640" s="6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65"/>
      <c r="C641" s="11"/>
      <c r="D641" s="6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65"/>
      <c r="C642" s="11"/>
      <c r="D642" s="6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65"/>
      <c r="C643" s="11"/>
      <c r="D643" s="6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65"/>
      <c r="C644" s="11"/>
      <c r="D644" s="6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65"/>
      <c r="C645" s="11"/>
      <c r="D645" s="6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65"/>
      <c r="C646" s="11"/>
      <c r="D646" s="6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65"/>
      <c r="C647" s="11"/>
      <c r="D647" s="6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65"/>
      <c r="C648" s="11"/>
      <c r="D648" s="6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65"/>
      <c r="C649" s="11"/>
      <c r="D649" s="6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65"/>
      <c r="C650" s="11"/>
      <c r="D650" s="6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65"/>
      <c r="C651" s="11"/>
      <c r="D651" s="6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65"/>
      <c r="C652" s="11"/>
      <c r="D652" s="6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65"/>
      <c r="C653" s="11"/>
      <c r="D653" s="6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65"/>
      <c r="C654" s="11"/>
      <c r="D654" s="6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65"/>
      <c r="C655" s="11"/>
      <c r="D655" s="6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65"/>
      <c r="C656" s="11"/>
      <c r="D656" s="6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65"/>
      <c r="C657" s="11"/>
      <c r="D657" s="6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65"/>
      <c r="C658" s="11"/>
      <c r="D658" s="6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65"/>
      <c r="C659" s="11"/>
      <c r="D659" s="6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65"/>
      <c r="C660" s="11"/>
      <c r="D660" s="6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65"/>
      <c r="C661" s="11"/>
      <c r="D661" s="6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65"/>
      <c r="C662" s="11"/>
      <c r="D662" s="6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65"/>
      <c r="C663" s="11"/>
      <c r="D663" s="6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65"/>
      <c r="C664" s="11"/>
      <c r="D664" s="6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65"/>
      <c r="C665" s="11"/>
      <c r="D665" s="6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65"/>
      <c r="C666" s="11"/>
      <c r="D666" s="6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65"/>
      <c r="C667" s="11"/>
      <c r="D667" s="6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65"/>
      <c r="C668" s="11"/>
      <c r="D668" s="6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65"/>
      <c r="C669" s="11"/>
      <c r="D669" s="6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65"/>
      <c r="C670" s="11"/>
      <c r="D670" s="6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65"/>
      <c r="C671" s="11"/>
      <c r="D671" s="6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65"/>
      <c r="C672" s="11"/>
      <c r="D672" s="6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65"/>
      <c r="C673" s="11"/>
      <c r="D673" s="6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65"/>
      <c r="C674" s="11"/>
      <c r="D674" s="6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65"/>
      <c r="C675" s="11"/>
      <c r="D675" s="6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65"/>
      <c r="C676" s="11"/>
      <c r="D676" s="6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65"/>
      <c r="C677" s="11"/>
      <c r="D677" s="6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65"/>
      <c r="C678" s="11"/>
      <c r="D678" s="6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65"/>
      <c r="C679" s="11"/>
      <c r="D679" s="6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65"/>
      <c r="C680" s="11"/>
      <c r="D680" s="6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65"/>
      <c r="C681" s="11"/>
      <c r="D681" s="6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65"/>
      <c r="C682" s="11"/>
      <c r="D682" s="6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65"/>
      <c r="C683" s="11"/>
      <c r="D683" s="6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65"/>
      <c r="C684" s="11"/>
      <c r="D684" s="6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65"/>
      <c r="C685" s="11"/>
      <c r="D685" s="6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65"/>
      <c r="C686" s="11"/>
      <c r="D686" s="6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65"/>
      <c r="C687" s="11"/>
      <c r="D687" s="6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65"/>
      <c r="C688" s="11"/>
      <c r="D688" s="6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65"/>
      <c r="C689" s="11"/>
      <c r="D689" s="6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65"/>
      <c r="C690" s="11"/>
      <c r="D690" s="6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65"/>
      <c r="C691" s="11"/>
      <c r="D691" s="6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65"/>
      <c r="C692" s="11"/>
      <c r="D692" s="6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65"/>
      <c r="C693" s="11"/>
      <c r="D693" s="6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65"/>
      <c r="C694" s="11"/>
      <c r="D694" s="6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65"/>
      <c r="C695" s="11"/>
      <c r="D695" s="6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65"/>
      <c r="C696" s="11"/>
      <c r="D696" s="6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65"/>
      <c r="C697" s="11"/>
      <c r="D697" s="6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65"/>
      <c r="C698" s="11"/>
      <c r="D698" s="6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65"/>
      <c r="C699" s="11"/>
      <c r="D699" s="6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65"/>
      <c r="C700" s="11"/>
      <c r="D700" s="6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65"/>
      <c r="C701" s="11"/>
      <c r="D701" s="6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65"/>
      <c r="C702" s="11"/>
      <c r="D702" s="6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65"/>
      <c r="C703" s="11"/>
      <c r="D703" s="6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65"/>
      <c r="C704" s="11"/>
      <c r="D704" s="6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65"/>
      <c r="C705" s="11"/>
      <c r="D705" s="6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65"/>
      <c r="C706" s="11"/>
      <c r="D706" s="6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65"/>
      <c r="C707" s="11"/>
      <c r="D707" s="6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65"/>
      <c r="C708" s="11"/>
      <c r="D708" s="6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65"/>
      <c r="C709" s="11"/>
      <c r="D709" s="6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65"/>
      <c r="C710" s="11"/>
      <c r="D710" s="6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65"/>
      <c r="C711" s="11"/>
      <c r="D711" s="6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65"/>
      <c r="C712" s="11"/>
      <c r="D712" s="6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65"/>
      <c r="C713" s="11"/>
      <c r="D713" s="6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65"/>
      <c r="C714" s="11"/>
      <c r="D714" s="6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65"/>
      <c r="C715" s="11"/>
      <c r="D715" s="6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65"/>
      <c r="C716" s="11"/>
      <c r="D716" s="6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65"/>
      <c r="C717" s="11"/>
      <c r="D717" s="6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65"/>
      <c r="C718" s="11"/>
      <c r="D718" s="6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65"/>
      <c r="C719" s="11"/>
      <c r="D719" s="6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65"/>
      <c r="C720" s="11"/>
      <c r="D720" s="6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65"/>
      <c r="C721" s="11"/>
      <c r="D721" s="6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65"/>
      <c r="C722" s="11"/>
      <c r="D722" s="6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65"/>
      <c r="C723" s="11"/>
      <c r="D723" s="6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65"/>
      <c r="C724" s="11"/>
      <c r="D724" s="6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65"/>
      <c r="C725" s="11"/>
      <c r="D725" s="6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65"/>
      <c r="C726" s="11"/>
      <c r="D726" s="6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65"/>
      <c r="C727" s="11"/>
      <c r="D727" s="6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65"/>
      <c r="C728" s="11"/>
      <c r="D728" s="6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65"/>
      <c r="C729" s="11"/>
      <c r="D729" s="6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65"/>
      <c r="C730" s="11"/>
      <c r="D730" s="6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65"/>
      <c r="C731" s="11"/>
      <c r="D731" s="6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65"/>
      <c r="C732" s="11"/>
      <c r="D732" s="6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65"/>
      <c r="C733" s="11"/>
      <c r="D733" s="6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65"/>
      <c r="C734" s="11"/>
      <c r="D734" s="6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65"/>
      <c r="C735" s="11"/>
      <c r="D735" s="6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65"/>
      <c r="C736" s="11"/>
      <c r="D736" s="6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65"/>
      <c r="C737" s="11"/>
      <c r="D737" s="6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65"/>
      <c r="C738" s="11"/>
      <c r="D738" s="6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65"/>
      <c r="C739" s="11"/>
      <c r="D739" s="6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65"/>
      <c r="C740" s="11"/>
      <c r="D740" s="6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65"/>
      <c r="C741" s="11"/>
      <c r="D741" s="6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65"/>
      <c r="C742" s="11"/>
      <c r="D742" s="6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65"/>
      <c r="C743" s="11"/>
      <c r="D743" s="6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65"/>
      <c r="C744" s="11"/>
      <c r="D744" s="6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65"/>
      <c r="C745" s="11"/>
      <c r="D745" s="6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65"/>
      <c r="C746" s="11"/>
      <c r="D746" s="6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65"/>
      <c r="C747" s="11"/>
      <c r="D747" s="6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65"/>
      <c r="C748" s="11"/>
      <c r="D748" s="6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65"/>
      <c r="C749" s="11"/>
      <c r="D749" s="6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65"/>
      <c r="C750" s="11"/>
      <c r="D750" s="6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65"/>
      <c r="C751" s="11"/>
      <c r="D751" s="6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65"/>
      <c r="C752" s="11"/>
      <c r="D752" s="6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65"/>
      <c r="C753" s="11"/>
      <c r="D753" s="6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65"/>
      <c r="C754" s="11"/>
      <c r="D754" s="6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65"/>
      <c r="C755" s="11"/>
      <c r="D755" s="6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65"/>
      <c r="C756" s="11"/>
      <c r="D756" s="6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65"/>
      <c r="C757" s="11"/>
      <c r="D757" s="6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65"/>
      <c r="C758" s="11"/>
      <c r="D758" s="6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65"/>
      <c r="C759" s="11"/>
      <c r="D759" s="6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65"/>
      <c r="C760" s="11"/>
      <c r="D760" s="6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65"/>
      <c r="C761" s="11"/>
      <c r="D761" s="6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65"/>
      <c r="C762" s="11"/>
      <c r="D762" s="6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65"/>
      <c r="C763" s="11"/>
      <c r="D763" s="6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65"/>
      <c r="C764" s="11"/>
      <c r="D764" s="6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65"/>
      <c r="C765" s="11"/>
      <c r="D765" s="6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65"/>
      <c r="C766" s="11"/>
      <c r="D766" s="6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65"/>
      <c r="C767" s="11"/>
      <c r="D767" s="6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65"/>
      <c r="C768" s="11"/>
      <c r="D768" s="6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65"/>
      <c r="C769" s="11"/>
      <c r="D769" s="6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65"/>
      <c r="C770" s="11"/>
      <c r="D770" s="6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65"/>
      <c r="C771" s="11"/>
      <c r="D771" s="6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65"/>
      <c r="C772" s="11"/>
      <c r="D772" s="6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65"/>
      <c r="C773" s="11"/>
      <c r="D773" s="6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65"/>
      <c r="C774" s="11"/>
      <c r="D774" s="6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65"/>
      <c r="C775" s="11"/>
      <c r="D775" s="6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65"/>
      <c r="C776" s="11"/>
      <c r="D776" s="6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65"/>
      <c r="C777" s="11"/>
      <c r="D777" s="6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65"/>
      <c r="C778" s="11"/>
      <c r="D778" s="6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65"/>
      <c r="C779" s="11"/>
      <c r="D779" s="6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65"/>
      <c r="C780" s="11"/>
      <c r="D780" s="6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65"/>
      <c r="C781" s="11"/>
      <c r="D781" s="6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65"/>
      <c r="C782" s="11"/>
      <c r="D782" s="6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65"/>
      <c r="C783" s="11"/>
      <c r="D783" s="6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65"/>
      <c r="C784" s="11"/>
      <c r="D784" s="6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65"/>
      <c r="C785" s="11"/>
      <c r="D785" s="6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65"/>
      <c r="C786" s="11"/>
      <c r="D786" s="6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65"/>
      <c r="C787" s="11"/>
      <c r="D787" s="6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65"/>
      <c r="C788" s="11"/>
      <c r="D788" s="6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65"/>
      <c r="C789" s="11"/>
      <c r="D789" s="6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65"/>
      <c r="C790" s="11"/>
      <c r="D790" s="6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65"/>
      <c r="C791" s="11"/>
      <c r="D791" s="6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65"/>
      <c r="C792" s="11"/>
      <c r="D792" s="6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65"/>
      <c r="C793" s="11"/>
      <c r="D793" s="6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65"/>
      <c r="C794" s="11"/>
      <c r="D794" s="6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65"/>
      <c r="C795" s="11"/>
      <c r="D795" s="6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65"/>
      <c r="C796" s="11"/>
      <c r="D796" s="6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65"/>
      <c r="C797" s="11"/>
      <c r="D797" s="6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65"/>
      <c r="C798" s="11"/>
      <c r="D798" s="6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65"/>
      <c r="C799" s="11"/>
      <c r="D799" s="6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65"/>
      <c r="C800" s="11"/>
      <c r="D800" s="6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65"/>
      <c r="C801" s="11"/>
      <c r="D801" s="6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65"/>
      <c r="C802" s="11"/>
      <c r="D802" s="6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65"/>
      <c r="C803" s="11"/>
      <c r="D803" s="6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65"/>
      <c r="C804" s="11"/>
      <c r="D804" s="6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65"/>
      <c r="C805" s="11"/>
      <c r="D805" s="6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65"/>
      <c r="C806" s="11"/>
      <c r="D806" s="6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65"/>
      <c r="C807" s="11"/>
      <c r="D807" s="6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65"/>
      <c r="C808" s="11"/>
      <c r="D808" s="6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65"/>
      <c r="C809" s="11"/>
      <c r="D809" s="6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65"/>
      <c r="C810" s="11"/>
      <c r="D810" s="6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65"/>
      <c r="C811" s="11"/>
      <c r="D811" s="6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65"/>
      <c r="C812" s="11"/>
      <c r="D812" s="6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65"/>
      <c r="C813" s="11"/>
      <c r="D813" s="6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65"/>
      <c r="C814" s="11"/>
      <c r="D814" s="6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65"/>
      <c r="C815" s="11"/>
      <c r="D815" s="6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65"/>
      <c r="C816" s="11"/>
      <c r="D816" s="6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65"/>
      <c r="C817" s="11"/>
      <c r="D817" s="6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65"/>
      <c r="C818" s="11"/>
      <c r="D818" s="6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65"/>
      <c r="C819" s="11"/>
      <c r="D819" s="6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65"/>
      <c r="C820" s="11"/>
      <c r="D820" s="6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65"/>
      <c r="C821" s="11"/>
      <c r="D821" s="6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65"/>
      <c r="C822" s="11"/>
      <c r="D822" s="6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65"/>
      <c r="C823" s="11"/>
      <c r="D823" s="6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65"/>
      <c r="C824" s="11"/>
      <c r="D824" s="6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65"/>
      <c r="C825" s="11"/>
      <c r="D825" s="6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65"/>
      <c r="C826" s="11"/>
      <c r="D826" s="6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65"/>
      <c r="C827" s="11"/>
      <c r="D827" s="6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65"/>
      <c r="C828" s="11"/>
      <c r="D828" s="6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65"/>
      <c r="C829" s="11"/>
      <c r="D829" s="6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65"/>
      <c r="C830" s="11"/>
      <c r="D830" s="6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65"/>
      <c r="C831" s="11"/>
      <c r="D831" s="6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65"/>
      <c r="C832" s="11"/>
      <c r="D832" s="6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65"/>
      <c r="C833" s="11"/>
      <c r="D833" s="6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65"/>
      <c r="C834" s="11"/>
      <c r="D834" s="6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65"/>
      <c r="C835" s="11"/>
      <c r="D835" s="6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65"/>
      <c r="C836" s="11"/>
      <c r="D836" s="6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65"/>
      <c r="C837" s="11"/>
      <c r="D837" s="6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65"/>
      <c r="C838" s="11"/>
      <c r="D838" s="6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65"/>
      <c r="C839" s="11"/>
      <c r="D839" s="6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65"/>
      <c r="C840" s="11"/>
      <c r="D840" s="6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65"/>
      <c r="C841" s="11"/>
      <c r="D841" s="6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65"/>
      <c r="C842" s="11"/>
      <c r="D842" s="6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65"/>
      <c r="C843" s="11"/>
      <c r="D843" s="6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65"/>
      <c r="C844" s="11"/>
      <c r="D844" s="6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65"/>
      <c r="C845" s="11"/>
      <c r="D845" s="6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65"/>
      <c r="C846" s="11"/>
      <c r="D846" s="6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65"/>
      <c r="C847" s="11"/>
      <c r="D847" s="6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65"/>
      <c r="C848" s="11"/>
      <c r="D848" s="6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65"/>
      <c r="C849" s="11"/>
      <c r="D849" s="6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65"/>
      <c r="C850" s="11"/>
      <c r="D850" s="6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65"/>
      <c r="C851" s="11"/>
      <c r="D851" s="6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65"/>
      <c r="C852" s="11"/>
      <c r="D852" s="6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65"/>
      <c r="C853" s="11"/>
      <c r="D853" s="6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65"/>
      <c r="C854" s="11"/>
      <c r="D854" s="6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65"/>
      <c r="C855" s="11"/>
      <c r="D855" s="6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65"/>
      <c r="C856" s="11"/>
      <c r="D856" s="6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65"/>
      <c r="C857" s="11"/>
      <c r="D857" s="6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65"/>
      <c r="C858" s="11"/>
      <c r="D858" s="6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65"/>
      <c r="C859" s="11"/>
      <c r="D859" s="6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65"/>
      <c r="C860" s="11"/>
      <c r="D860" s="6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65"/>
      <c r="C861" s="11"/>
      <c r="D861" s="6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65"/>
      <c r="C862" s="11"/>
      <c r="D862" s="6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65"/>
      <c r="C863" s="11"/>
      <c r="D863" s="6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65"/>
      <c r="C864" s="11"/>
      <c r="D864" s="6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65"/>
      <c r="C865" s="11"/>
      <c r="D865" s="6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65"/>
      <c r="C866" s="11"/>
      <c r="D866" s="6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65"/>
      <c r="C867" s="11"/>
      <c r="D867" s="6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65"/>
      <c r="C868" s="11"/>
      <c r="D868" s="6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65"/>
      <c r="C869" s="11"/>
      <c r="D869" s="6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65"/>
      <c r="C870" s="11"/>
      <c r="D870" s="6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65"/>
      <c r="C871" s="11"/>
      <c r="D871" s="6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65"/>
      <c r="C872" s="11"/>
      <c r="D872" s="6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65"/>
      <c r="C873" s="11"/>
      <c r="D873" s="6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65"/>
      <c r="C874" s="11"/>
      <c r="D874" s="6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65"/>
      <c r="C875" s="11"/>
      <c r="D875" s="6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65"/>
      <c r="C876" s="11"/>
      <c r="D876" s="6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65"/>
      <c r="C877" s="11"/>
      <c r="D877" s="6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65"/>
      <c r="C878" s="11"/>
      <c r="D878" s="6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65"/>
      <c r="C879" s="11"/>
      <c r="D879" s="6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65"/>
      <c r="C880" s="11"/>
      <c r="D880" s="6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65"/>
      <c r="C881" s="11"/>
      <c r="D881" s="6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65"/>
      <c r="C882" s="11"/>
      <c r="D882" s="6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65"/>
      <c r="C883" s="11"/>
      <c r="D883" s="6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65"/>
      <c r="C884" s="11"/>
      <c r="D884" s="6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65"/>
      <c r="C885" s="11"/>
      <c r="D885" s="6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65"/>
      <c r="C886" s="11"/>
      <c r="D886" s="6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65"/>
      <c r="C887" s="11"/>
      <c r="D887" s="6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65"/>
      <c r="C888" s="11"/>
      <c r="D888" s="6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65"/>
      <c r="C889" s="11"/>
      <c r="D889" s="6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65"/>
      <c r="C890" s="11"/>
      <c r="D890" s="6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65"/>
      <c r="C891" s="11"/>
      <c r="D891" s="6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65"/>
      <c r="C892" s="11"/>
      <c r="D892" s="6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65"/>
      <c r="C893" s="11"/>
      <c r="D893" s="6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65"/>
      <c r="C894" s="11"/>
      <c r="D894" s="6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65"/>
      <c r="C895" s="11"/>
      <c r="D895" s="6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65"/>
      <c r="C896" s="11"/>
      <c r="D896" s="6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65"/>
      <c r="C897" s="11"/>
      <c r="D897" s="6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65"/>
      <c r="C898" s="11"/>
      <c r="D898" s="6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65"/>
      <c r="C899" s="11"/>
      <c r="D899" s="6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65"/>
      <c r="C900" s="11"/>
      <c r="D900" s="6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65"/>
      <c r="C901" s="11"/>
      <c r="D901" s="6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65"/>
      <c r="C902" s="11"/>
      <c r="D902" s="6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65"/>
      <c r="C903" s="11"/>
      <c r="D903" s="6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65"/>
      <c r="C904" s="11"/>
      <c r="D904" s="6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65"/>
      <c r="C905" s="11"/>
      <c r="D905" s="6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65"/>
      <c r="C906" s="11"/>
      <c r="D906" s="6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65"/>
      <c r="C907" s="11"/>
      <c r="D907" s="6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65"/>
      <c r="C908" s="11"/>
      <c r="D908" s="6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65"/>
      <c r="C909" s="11"/>
      <c r="D909" s="6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65"/>
      <c r="C910" s="11"/>
      <c r="D910" s="6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65"/>
      <c r="C911" s="11"/>
      <c r="D911" s="6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65"/>
      <c r="C912" s="11"/>
      <c r="D912" s="6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65"/>
      <c r="C913" s="11"/>
      <c r="D913" s="6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65"/>
      <c r="C914" s="11"/>
      <c r="D914" s="6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65"/>
      <c r="C915" s="11"/>
      <c r="D915" s="6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65"/>
      <c r="C916" s="11"/>
      <c r="D916" s="6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65"/>
      <c r="C917" s="11"/>
      <c r="D917" s="6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65"/>
      <c r="C918" s="11"/>
      <c r="D918" s="6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65"/>
      <c r="C919" s="11"/>
      <c r="D919" s="6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65"/>
      <c r="C920" s="11"/>
      <c r="D920" s="6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65"/>
      <c r="C921" s="11"/>
      <c r="D921" s="6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65"/>
      <c r="C922" s="11"/>
      <c r="D922" s="6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65"/>
      <c r="C923" s="11"/>
      <c r="D923" s="6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65"/>
      <c r="C924" s="11"/>
      <c r="D924" s="6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65"/>
      <c r="C925" s="11"/>
      <c r="D925" s="6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65"/>
      <c r="C926" s="11"/>
      <c r="D926" s="6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65"/>
      <c r="C927" s="11"/>
      <c r="D927" s="6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65"/>
      <c r="C928" s="11"/>
      <c r="D928" s="6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65"/>
      <c r="C929" s="11"/>
      <c r="D929" s="6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65"/>
      <c r="C930" s="11"/>
      <c r="D930" s="6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65"/>
      <c r="C931" s="11"/>
      <c r="D931" s="6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65"/>
      <c r="C932" s="11"/>
      <c r="D932" s="6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65"/>
      <c r="C933" s="11"/>
      <c r="D933" s="6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65"/>
      <c r="C934" s="11"/>
      <c r="D934" s="6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65"/>
      <c r="C935" s="11"/>
      <c r="D935" s="6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65"/>
      <c r="C936" s="11"/>
      <c r="D936" s="6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65"/>
      <c r="C937" s="11"/>
      <c r="D937" s="6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65"/>
      <c r="C938" s="11"/>
      <c r="D938" s="6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65"/>
      <c r="C939" s="11"/>
      <c r="D939" s="6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65"/>
      <c r="C940" s="11"/>
      <c r="D940" s="6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65"/>
      <c r="C941" s="11"/>
      <c r="D941" s="6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65"/>
      <c r="C942" s="11"/>
      <c r="D942" s="6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65"/>
      <c r="C943" s="11"/>
      <c r="D943" s="6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65"/>
      <c r="C944" s="11"/>
      <c r="D944" s="6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65"/>
      <c r="C945" s="11"/>
      <c r="D945" s="6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65"/>
      <c r="C946" s="11"/>
      <c r="D946" s="6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65"/>
      <c r="C947" s="11"/>
      <c r="D947" s="6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65"/>
      <c r="C948" s="11"/>
      <c r="D948" s="6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65"/>
      <c r="C949" s="11"/>
      <c r="D949" s="6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65"/>
      <c r="C950" s="11"/>
      <c r="D950" s="6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65"/>
      <c r="C951" s="11"/>
      <c r="D951" s="6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65"/>
      <c r="C952" s="11"/>
      <c r="D952" s="6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65"/>
      <c r="C953" s="11"/>
      <c r="D953" s="6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65"/>
      <c r="C954" s="11"/>
      <c r="D954" s="6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65"/>
      <c r="C955" s="11"/>
      <c r="D955" s="6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65"/>
      <c r="C956" s="11"/>
      <c r="D956" s="6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65"/>
      <c r="C957" s="11"/>
      <c r="D957" s="6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65"/>
      <c r="C958" s="11"/>
      <c r="D958" s="6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65"/>
      <c r="C959" s="11"/>
      <c r="D959" s="6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65"/>
      <c r="C960" s="11"/>
      <c r="D960" s="6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65"/>
      <c r="C961" s="11"/>
      <c r="D961" s="6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65"/>
      <c r="C962" s="11"/>
      <c r="D962" s="6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65"/>
      <c r="C963" s="11"/>
      <c r="D963" s="6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65"/>
      <c r="C964" s="11"/>
      <c r="D964" s="6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65"/>
      <c r="C965" s="11"/>
      <c r="D965" s="6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65"/>
      <c r="C966" s="11"/>
      <c r="D966" s="6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65"/>
      <c r="C967" s="11"/>
      <c r="D967" s="6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65"/>
      <c r="C968" s="11"/>
      <c r="D968" s="6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65"/>
      <c r="C969" s="11"/>
      <c r="D969" s="6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65"/>
      <c r="C970" s="11"/>
      <c r="D970" s="6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65"/>
      <c r="C971" s="11"/>
      <c r="D971" s="6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65"/>
      <c r="C972" s="11"/>
      <c r="D972" s="6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65"/>
      <c r="C973" s="11"/>
      <c r="D973" s="6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65"/>
      <c r="C974" s="11"/>
      <c r="D974" s="6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65"/>
      <c r="C975" s="11"/>
      <c r="D975" s="6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65"/>
      <c r="C976" s="11"/>
      <c r="D976" s="6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65"/>
      <c r="C977" s="11"/>
      <c r="D977" s="6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65"/>
      <c r="C978" s="11"/>
      <c r="D978" s="6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65"/>
      <c r="C979" s="11"/>
      <c r="D979" s="6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65"/>
      <c r="C980" s="11"/>
      <c r="D980" s="6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65"/>
      <c r="C981" s="11"/>
      <c r="D981" s="6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65"/>
      <c r="C982" s="11"/>
      <c r="D982" s="6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65"/>
      <c r="C983" s="11"/>
      <c r="D983" s="6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65"/>
      <c r="C984" s="11"/>
      <c r="D984" s="6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65"/>
      <c r="C985" s="11"/>
      <c r="D985" s="6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65"/>
      <c r="C986" s="11"/>
      <c r="D986" s="6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65"/>
      <c r="C987" s="11"/>
      <c r="D987" s="6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65"/>
      <c r="C988" s="11"/>
      <c r="D988" s="6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65"/>
      <c r="C989" s="11"/>
      <c r="D989" s="6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65"/>
      <c r="C990" s="11"/>
      <c r="D990" s="6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65"/>
      <c r="C991" s="11"/>
      <c r="D991" s="6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65"/>
      <c r="C992" s="11"/>
      <c r="D992" s="6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65"/>
      <c r="C993" s="11"/>
      <c r="D993" s="6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65"/>
      <c r="C994" s="11"/>
      <c r="D994" s="6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65"/>
      <c r="C995" s="11"/>
      <c r="D995" s="6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65"/>
      <c r="C996" s="11"/>
      <c r="D996" s="6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65"/>
      <c r="C997" s="11"/>
      <c r="D997" s="6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65"/>
      <c r="C998" s="11"/>
      <c r="D998" s="6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65"/>
      <c r="C999" s="11"/>
      <c r="D999" s="6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65"/>
      <c r="C1000" s="11"/>
      <c r="D1000" s="6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41.5" style="67" customWidth="1"/>
    <col min="2" max="2" width="19.3516" style="67" customWidth="1"/>
    <col min="3" max="3" width="21.8516" style="67" customWidth="1"/>
    <col min="4" max="4" width="14" style="67" customWidth="1"/>
    <col min="5" max="26" width="8.67188" style="67" customWidth="1"/>
    <col min="27" max="16384" width="14.5" style="67" customWidth="1"/>
  </cols>
  <sheetData>
    <row r="1" ht="22.5" customHeight="1">
      <c r="A1" t="s" s="7">
        <v>6</v>
      </c>
      <c r="B1" t="s" s="8">
        <v>7</v>
      </c>
      <c r="C1" t="s" s="8">
        <v>8</v>
      </c>
      <c r="D1" t="s" s="9">
        <v>9</v>
      </c>
      <c r="E1" s="10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2.5" customHeight="1">
      <c r="A2" t="s" s="12">
        <v>10</v>
      </c>
      <c r="B2" s="13">
        <v>3500</v>
      </c>
      <c r="C2" s="14" cm="1">
        <f t="array" ref="C2">B2/B$2</f>
        <v>1</v>
      </c>
      <c r="D2" s="15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2.5" customHeight="1">
      <c r="A3" t="s" s="16">
        <v>11</v>
      </c>
      <c r="B3" s="17" cm="1">
        <f t="array" ref="B3">SUM(B2)</f>
        <v>3500</v>
      </c>
      <c r="C3" s="18" cm="1">
        <f t="array" ref="C3">B3/B$2</f>
        <v>1</v>
      </c>
      <c r="D3" s="19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2.5" customHeight="1">
      <c r="A4" t="s" s="20">
        <v>12</v>
      </c>
      <c r="B4" s="21"/>
      <c r="C4" s="22"/>
      <c r="D4" s="23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2.5" customHeight="1">
      <c r="A5" t="s" s="24">
        <v>13</v>
      </c>
      <c r="B5" s="25">
        <v>716.09</v>
      </c>
      <c r="C5" s="26" cm="1">
        <f t="array" ref="C5">B5/B$2</f>
        <v>0.204597142857143</v>
      </c>
      <c r="D5" s="27" cm="1">
        <f t="array" ref="D5">B5/2</f>
        <v>358.045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2.5" customHeight="1">
      <c r="A6" t="s" s="28">
        <v>14</v>
      </c>
      <c r="B6" s="29">
        <v>187</v>
      </c>
      <c r="C6" s="30" cm="1">
        <f t="array" ref="C6">B6/B$2</f>
        <v>0.0534285714285714</v>
      </c>
      <c r="D6" s="31" cm="1">
        <f t="array" ref="D6">B6/2</f>
        <v>93.5</v>
      </c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2.5" customHeight="1">
      <c r="A7" t="s" s="24">
        <v>15</v>
      </c>
      <c r="B7" s="25">
        <v>84</v>
      </c>
      <c r="C7" s="26" cm="1">
        <f t="array" ref="C7">B7/B$2</f>
        <v>0.024</v>
      </c>
      <c r="D7" s="27" cm="1">
        <f t="array" ref="D7">B7/2</f>
        <v>42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2.5" customHeight="1">
      <c r="A8" t="s" s="28">
        <v>16</v>
      </c>
      <c r="B8" s="29">
        <v>29.99</v>
      </c>
      <c r="C8" s="30" cm="1">
        <f t="array" ref="C8">B8/B$2</f>
        <v>0.008568571428571431</v>
      </c>
      <c r="D8" s="31" cm="1">
        <f t="array" ref="D8">B8/2</f>
        <v>14.995</v>
      </c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2.5" customHeight="1">
      <c r="A9" t="s" s="24">
        <v>17</v>
      </c>
      <c r="B9" s="25">
        <v>18.5</v>
      </c>
      <c r="C9" s="26" cm="1">
        <f t="array" ref="C9">B9/B$2</f>
        <v>0.00528571428571429</v>
      </c>
      <c r="D9" s="27" cm="1">
        <f t="array" ref="D9">B9/2</f>
        <v>9.25</v>
      </c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2.5" customHeight="1">
      <c r="A10" t="s" s="28">
        <v>18</v>
      </c>
      <c r="B10" s="29">
        <v>72</v>
      </c>
      <c r="C10" s="30" cm="1">
        <f t="array" ref="C10">B10/B$2</f>
        <v>0.0205714285714286</v>
      </c>
      <c r="D10" s="31" cm="1">
        <f t="array" ref="D10">B10/2</f>
        <v>36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2.5" customHeight="1">
      <c r="A11" t="s" s="16">
        <v>11</v>
      </c>
      <c r="B11" s="17" cm="1">
        <f t="array" ref="B11">SUM(B5:B10)</f>
        <v>1107.58</v>
      </c>
      <c r="C11" s="18" cm="1">
        <f t="array" ref="C11">B11/B$2</f>
        <v>0.316451428571429</v>
      </c>
      <c r="D11" s="19" cm="1">
        <f t="array" ref="D11">SUM(D5:D10)</f>
        <v>553.79</v>
      </c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2.5" customHeight="1">
      <c r="A12" s="34"/>
      <c r="B12" s="35"/>
      <c r="C12" s="36"/>
      <c r="D12" s="15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2.5" customHeight="1">
      <c r="A13" t="s" s="20">
        <v>19</v>
      </c>
      <c r="B13" s="21"/>
      <c r="C13" s="22"/>
      <c r="D13" s="23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2.5" customHeight="1">
      <c r="A14" t="s" s="28">
        <v>20</v>
      </c>
      <c r="B14" s="29">
        <v>31.95</v>
      </c>
      <c r="C14" s="30" cm="1">
        <f t="array" ref="C14">B14/B$2</f>
        <v>0.00912857142857143</v>
      </c>
      <c r="D14" s="31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2.5" customHeight="1">
      <c r="A15" t="s" s="16">
        <v>21</v>
      </c>
      <c r="B15" s="17" cm="1">
        <f t="array" ref="B15">SUM(B14)</f>
        <v>31.95</v>
      </c>
      <c r="C15" s="18" cm="1">
        <f t="array" ref="C15">B15/B$2</f>
        <v>0.00912857142857143</v>
      </c>
      <c r="D15" s="19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2.5" customHeight="1">
      <c r="A16" s="37"/>
      <c r="B16" s="38"/>
      <c r="C16" s="39"/>
      <c r="D16" s="4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2.5" customHeight="1">
      <c r="A17" t="s" s="20">
        <v>22</v>
      </c>
      <c r="B17" s="21"/>
      <c r="C17" s="22"/>
      <c r="D17" s="23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2.5" customHeight="1">
      <c r="A18" t="s" s="28">
        <v>23</v>
      </c>
      <c r="B18" s="29">
        <v>5.265</v>
      </c>
      <c r="C18" s="30" cm="1">
        <f t="array" ref="C18">B18/B$2</f>
        <v>0.00150428571428571</v>
      </c>
      <c r="D18" s="31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2.5" customHeight="1">
      <c r="A19" t="s" s="24">
        <v>24</v>
      </c>
      <c r="B19" s="25">
        <v>2.083</v>
      </c>
      <c r="C19" s="26" cm="1">
        <f t="array" ref="C19">B19/B$2</f>
        <v>0.000595142857142857</v>
      </c>
      <c r="D19" s="27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2.5" customHeight="1">
      <c r="A20" t="s" s="28">
        <v>25</v>
      </c>
      <c r="B20" s="29">
        <v>22.62</v>
      </c>
      <c r="C20" s="30" cm="1">
        <f t="array" ref="C20">B20/B$2</f>
        <v>0.00646285714285714</v>
      </c>
      <c r="D20" s="31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t="s" s="24">
        <v>26</v>
      </c>
      <c r="B21" s="25">
        <v>33</v>
      </c>
      <c r="C21" s="26" cm="1">
        <f t="array" ref="C21">B21/B$2</f>
        <v>0.00942857142857143</v>
      </c>
      <c r="D21" s="27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t="s" s="28">
        <v>27</v>
      </c>
      <c r="B22" s="29">
        <v>0</v>
      </c>
      <c r="C22" s="30" cm="1">
        <f t="array" ref="C22">B22/B$2</f>
        <v>0</v>
      </c>
      <c r="D22" s="31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t="s" s="24">
        <v>28</v>
      </c>
      <c r="B23" s="25">
        <v>31.55</v>
      </c>
      <c r="C23" s="26" cm="1">
        <f t="array" ref="C23">B23/B$2</f>
        <v>0.009014285714285711</v>
      </c>
      <c r="D23" s="27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t="s" s="28">
        <v>29</v>
      </c>
      <c r="B24" s="29">
        <v>8.92</v>
      </c>
      <c r="C24" s="30" cm="1">
        <f t="array" ref="C24">B24/B$2</f>
        <v>0.00254857142857143</v>
      </c>
      <c r="D24" s="31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t="s" s="16">
        <v>11</v>
      </c>
      <c r="B25" s="17" cm="1">
        <f t="array" ref="B25">SUM(B18:B24)</f>
        <v>103.438</v>
      </c>
      <c r="C25" s="18" cm="1">
        <f t="array" ref="C25">B25/B$2</f>
        <v>0.0295537142857143</v>
      </c>
      <c r="D25" s="19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4"/>
      <c r="B26" s="35"/>
      <c r="C26" s="36"/>
      <c r="D26" s="15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t="s" s="20">
        <v>30</v>
      </c>
      <c r="B27" s="21"/>
      <c r="C27" s="22"/>
      <c r="D27" s="23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t="s" s="28">
        <v>31</v>
      </c>
      <c r="B28" s="29">
        <v>681.5700000000001</v>
      </c>
      <c r="C28" s="30" cm="1">
        <f t="array" ref="C28">B28/B$2</f>
        <v>0.194734285714286</v>
      </c>
      <c r="D28" s="31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t="s" s="24">
        <v>32</v>
      </c>
      <c r="B29" s="25">
        <v>19.8</v>
      </c>
      <c r="C29" s="26" cm="1">
        <f t="array" ref="C29">B29/B$2</f>
        <v>0.00565714285714286</v>
      </c>
      <c r="D29" s="27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t="s" s="16">
        <v>11</v>
      </c>
      <c r="B30" s="17" cm="1">
        <f t="array" ref="B30">SUM(B28:B29)</f>
        <v>701.37</v>
      </c>
      <c r="C30" s="18" cm="1">
        <f t="array" ref="C30">B30/B$2</f>
        <v>0.200391428571429</v>
      </c>
      <c r="D30" s="19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42"/>
      <c r="B31" s="43"/>
      <c r="C31" s="44"/>
      <c r="D31" s="45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t="s" s="20">
        <v>34</v>
      </c>
      <c r="B32" s="21"/>
      <c r="C32" s="22"/>
      <c r="D32" s="23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t="s" s="24">
        <v>35</v>
      </c>
      <c r="B33" s="25">
        <v>23.99</v>
      </c>
      <c r="C33" s="26" cm="1">
        <f t="array" ref="C33">B33/B$2</f>
        <v>0.00685428571428571</v>
      </c>
      <c r="D33" s="27" cm="1">
        <f t="array" ref="D33">B33/6</f>
        <v>3.99833333333333</v>
      </c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t="s" s="28">
        <v>36</v>
      </c>
      <c r="B34" s="29">
        <v>19.99</v>
      </c>
      <c r="C34" s="30" cm="1">
        <f t="array" ref="C34">B34/B$2</f>
        <v>0.00571142857142857</v>
      </c>
      <c r="D34" s="31" cm="1">
        <f t="array" ref="D34">B34/5</f>
        <v>3.998</v>
      </c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t="s" s="24">
        <v>37</v>
      </c>
      <c r="B35" s="25">
        <v>9.99</v>
      </c>
      <c r="C35" s="26" cm="1">
        <f t="array" ref="C35">B35/B$2</f>
        <v>0.00285428571428571</v>
      </c>
      <c r="D35" s="27" cm="1">
        <f t="array" ref="D35">B35/2</f>
        <v>4.995</v>
      </c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t="s" s="28">
        <v>38</v>
      </c>
      <c r="B36" s="29">
        <v>17.99</v>
      </c>
      <c r="C36" s="30" cm="1">
        <f t="array" ref="C36">B36/B$2</f>
        <v>0.00514</v>
      </c>
      <c r="D36" s="31" cm="1">
        <f t="array" ref="D36">B36/6</f>
        <v>2.99833333333333</v>
      </c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t="s" s="24">
        <v>39</v>
      </c>
      <c r="B37" s="25">
        <v>2.99</v>
      </c>
      <c r="C37" s="26" cm="1">
        <f t="array" ref="C37">B37/B$2</f>
        <v>0.000854285714285714</v>
      </c>
      <c r="D37" s="27" cm="1">
        <f t="array" ref="D37">B37/2</f>
        <v>1.495</v>
      </c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t="s" s="28">
        <v>40</v>
      </c>
      <c r="B38" s="29">
        <v>9.99</v>
      </c>
      <c r="C38" s="30" cm="1">
        <f t="array" ref="C38">B38/B$2</f>
        <v>0.00285428571428571</v>
      </c>
      <c r="D38" s="31" cm="1">
        <f t="array" ref="D38">B38/4</f>
        <v>2.4975</v>
      </c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t="s" s="16">
        <v>11</v>
      </c>
      <c r="B39" s="17" cm="1">
        <f t="array" ref="B39">SUM(B33:B38)</f>
        <v>84.94</v>
      </c>
      <c r="C39" s="18" cm="1">
        <f t="array" ref="C39">B39/B$2</f>
        <v>0.0242685714285714</v>
      </c>
      <c r="D39" s="19" cm="1">
        <f t="array" ref="D39">SUM(D33:D38)</f>
        <v>19.9821666666667</v>
      </c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34"/>
      <c r="B40" s="35"/>
      <c r="C40" s="36"/>
      <c r="D40" s="15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t="s" s="20">
        <v>42</v>
      </c>
      <c r="B41" s="21"/>
      <c r="C41" s="22"/>
      <c r="D41" s="23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t="s" s="28">
        <v>43</v>
      </c>
      <c r="B42" s="29">
        <v>132.48</v>
      </c>
      <c r="C42" s="30" cm="1">
        <f t="array" ref="C42">B42/B$2</f>
        <v>0.0378514285714286</v>
      </c>
      <c r="D42" s="31" cm="1">
        <f t="array" ref="D42">B42/2</f>
        <v>66.23999999999999</v>
      </c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t="s" s="24">
        <v>44</v>
      </c>
      <c r="B43" s="25">
        <v>5.28</v>
      </c>
      <c r="C43" s="26" cm="1">
        <f t="array" ref="C43">B43/B$2</f>
        <v>0.00150857142857143</v>
      </c>
      <c r="D43" s="27" cm="1">
        <f t="array" ref="D43">B43/2</f>
        <v>2.64</v>
      </c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t="s" s="28">
        <v>45</v>
      </c>
      <c r="B44" s="29">
        <v>10</v>
      </c>
      <c r="C44" s="30" cm="1">
        <f t="array" ref="C44">B44/B$2</f>
        <v>0.00285714285714286</v>
      </c>
      <c r="D44" s="31" cm="1">
        <f t="array" ref="D44">B44/2</f>
        <v>5</v>
      </c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t="s" s="24">
        <v>46</v>
      </c>
      <c r="B45" s="25">
        <v>0</v>
      </c>
      <c r="C45" s="26" cm="1">
        <f t="array" ref="C45">B45/B$2</f>
        <v>0</v>
      </c>
      <c r="D45" s="27" cm="1">
        <f t="array" ref="D45">B45/2</f>
        <v>0</v>
      </c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t="s" s="16">
        <v>11</v>
      </c>
      <c r="B46" s="17" cm="1">
        <f t="array" ref="B46">SUM(B42:B45)</f>
        <v>147.76</v>
      </c>
      <c r="C46" s="18" cm="1">
        <f t="array" ref="C46">B46/B$2</f>
        <v>0.0422171428571429</v>
      </c>
      <c r="D46" s="19" cm="1">
        <f t="array" ref="D46">SUM(D42:D45)</f>
        <v>73.88</v>
      </c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42"/>
      <c r="B47" s="43"/>
      <c r="C47" s="44"/>
      <c r="D47" s="45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t="s" s="20">
        <v>47</v>
      </c>
      <c r="B48" s="21"/>
      <c r="C48" s="22"/>
      <c r="D48" s="23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t="s" s="24">
        <v>48</v>
      </c>
      <c r="B49" s="25">
        <v>500</v>
      </c>
      <c r="C49" s="26" cm="1">
        <f t="array" ref="C49">B49/B$2</f>
        <v>0.142857142857143</v>
      </c>
      <c r="D49" s="27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t="s" s="28">
        <v>49</v>
      </c>
      <c r="B50" s="29">
        <v>40</v>
      </c>
      <c r="C50" s="30" cm="1">
        <f t="array" ref="C50">B50/B$2</f>
        <v>0.0114285714285714</v>
      </c>
      <c r="D50" s="31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t="s" s="16">
        <v>11</v>
      </c>
      <c r="B51" s="17" cm="1">
        <f t="array" ref="B51">SUM(B49:B50)</f>
        <v>540</v>
      </c>
      <c r="C51" s="18" cm="1">
        <f t="array" ref="C51">B51/B$2</f>
        <v>0.154285714285714</v>
      </c>
      <c r="D51" s="19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34"/>
      <c r="B52" s="35"/>
      <c r="C52" s="36"/>
      <c r="D52" s="15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t="s" s="20">
        <v>50</v>
      </c>
      <c r="B53" s="21"/>
      <c r="C53" s="22"/>
      <c r="D53" s="23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t="s" s="28">
        <v>51</v>
      </c>
      <c r="B54" s="29">
        <v>0</v>
      </c>
      <c r="C54" s="30" cm="1">
        <f t="array" ref="C54">B54/B$2</f>
        <v>0</v>
      </c>
      <c r="D54" s="31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42"/>
      <c r="B55" s="43"/>
      <c r="C55" s="44"/>
      <c r="D55" s="45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t="s" s="16">
        <v>21</v>
      </c>
      <c r="B56" s="17" cm="1">
        <f t="array" ref="B56">B11+B25+B30+B39+B46+B51+B54</f>
        <v>2685.088</v>
      </c>
      <c r="C56" s="18" cm="1">
        <f t="array" ref="C56">B56/B$2</f>
        <v>0.767168</v>
      </c>
      <c r="D56" s="19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42"/>
      <c r="B57" s="43"/>
      <c r="C57" s="44"/>
      <c r="D57" s="45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4"/>
      <c r="B58" s="35"/>
      <c r="C58" s="36"/>
      <c r="D58" s="15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t="s" s="46">
        <v>52</v>
      </c>
      <c r="B59" s="47"/>
      <c r="C59" s="48"/>
      <c r="D59" s="49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t="s" s="28">
        <v>53</v>
      </c>
      <c r="B60" s="29" cm="1">
        <f t="array" ref="B60">D5+D6+D7+D8+D9+D10+D33+D34+D35+D36+D37+D38+D42+D43+D44-B29-27.66</f>
        <v>600.192166666667</v>
      </c>
      <c r="C60" s="36"/>
      <c r="D60" s="15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t="s" s="24">
        <v>54</v>
      </c>
      <c r="B61" s="25" cm="1">
        <f t="array" ref="B61">D33+D34+D36+D38</f>
        <v>13.4921666666667</v>
      </c>
      <c r="C61" s="44"/>
      <c r="D61" s="45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t="s" s="28">
        <v>55</v>
      </c>
      <c r="B62" s="29" cm="1">
        <f t="array" ref="B62">D33+D34+D36+D38</f>
        <v>13.4921666666667</v>
      </c>
      <c r="C62" s="36"/>
      <c r="D62" s="15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t="s" s="24">
        <v>56</v>
      </c>
      <c r="B63" s="25">
        <v>38.34</v>
      </c>
      <c r="C63" s="44"/>
      <c r="D63" s="45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t="s" s="28">
        <v>57</v>
      </c>
      <c r="B64" s="29" cm="1">
        <f t="array" ref="B64">D33</f>
        <v>3.99833333333333</v>
      </c>
      <c r="C64" s="36"/>
      <c r="D64" s="15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t="s" s="24">
        <v>58</v>
      </c>
      <c r="B65" s="25" cm="1">
        <f t="array" ref="B65">D34</f>
        <v>3.998</v>
      </c>
      <c r="C65" s="44"/>
      <c r="D65" s="45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t="s" s="28">
        <v>59</v>
      </c>
      <c r="B66" s="29" cm="1">
        <f t="array" ref="B66">D36</f>
        <v>2.99833333333333</v>
      </c>
      <c r="C66" s="36"/>
      <c r="D66" s="15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t="s" s="50">
        <v>21</v>
      </c>
      <c r="B67" s="51" cm="1">
        <f t="array" ref="B67">SUM(B60:B66)</f>
        <v>676.511166666667</v>
      </c>
      <c r="C67" s="52"/>
      <c r="D67" s="53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4"/>
      <c r="B68" s="35"/>
      <c r="C68" s="36"/>
      <c r="D68" s="15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42"/>
      <c r="B69" s="43"/>
      <c r="C69" s="44"/>
      <c r="D69" s="45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t="s" s="54">
        <v>60</v>
      </c>
      <c r="B70" s="55"/>
      <c r="C70" s="56"/>
      <c r="D70" s="57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t="s" s="24">
        <v>61</v>
      </c>
      <c r="B71" s="43" cm="1">
        <f t="array" ref="B71">B56</f>
        <v>2685.088</v>
      </c>
      <c r="C71" s="44"/>
      <c r="D71" s="45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t="s" s="28">
        <v>52</v>
      </c>
      <c r="B72" s="13" cm="1">
        <f t="array" ref="B72">-B67</f>
        <v>-676.511166666667</v>
      </c>
      <c r="C72" s="36"/>
      <c r="D72" s="15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t="s" s="54">
        <v>21</v>
      </c>
      <c r="B73" s="55" cm="1">
        <f t="array" ref="B73">B56-B67</f>
        <v>2008.576833333330</v>
      </c>
      <c r="C73" s="56" cm="1">
        <f t="array" ref="C73">B73/B$2</f>
        <v>0.573879095238094</v>
      </c>
      <c r="D73" s="58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34"/>
      <c r="B74" s="35"/>
      <c r="C74" s="36"/>
      <c r="D74" s="15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t="s" s="59">
        <v>62</v>
      </c>
      <c r="B75" s="60" cm="1">
        <f t="array" ref="B75">B$2-B73</f>
        <v>1491.423166666670</v>
      </c>
      <c r="C75" s="61" cm="1">
        <f t="array" ref="C75">B75/B$2</f>
        <v>0.426120904761906</v>
      </c>
      <c r="D75" s="62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63"/>
      <c r="B76" s="64"/>
      <c r="C76" s="63"/>
      <c r="D76" s="64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65"/>
      <c r="C77" s="11"/>
      <c r="D77" s="65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65"/>
      <c r="C78" s="11"/>
      <c r="D78" s="65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65"/>
      <c r="C79" s="11"/>
      <c r="D79" s="65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65"/>
      <c r="C80" s="11"/>
      <c r="D80" s="6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65"/>
      <c r="C81" s="11"/>
      <c r="D81" s="6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65"/>
      <c r="C82" s="11"/>
      <c r="D82" s="6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65"/>
      <c r="C83" s="11"/>
      <c r="D83" s="65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65"/>
      <c r="C84" s="11"/>
      <c r="D84" s="6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65"/>
      <c r="C85" s="11"/>
      <c r="D85" s="65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65"/>
      <c r="C86" s="11"/>
      <c r="D86" s="65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65"/>
      <c r="C87" s="11"/>
      <c r="D87" s="65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65"/>
      <c r="C88" s="11"/>
      <c r="D88" s="6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65"/>
      <c r="C89" s="11"/>
      <c r="D89" s="65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65"/>
      <c r="C90" s="11"/>
      <c r="D90" s="65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65"/>
      <c r="C91" s="11"/>
      <c r="D91" s="65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65"/>
      <c r="C92" s="11"/>
      <c r="D92" s="6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65"/>
      <c r="C93" s="11"/>
      <c r="D93" s="65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65"/>
      <c r="C94" s="11"/>
      <c r="D94" s="65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65"/>
      <c r="C95" s="11"/>
      <c r="D95" s="65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65"/>
      <c r="C96" s="11"/>
      <c r="D96" s="6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65"/>
      <c r="C97" s="11"/>
      <c r="D97" s="65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65"/>
      <c r="C98" s="11"/>
      <c r="D98" s="65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65"/>
      <c r="C99" s="11"/>
      <c r="D99" s="65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65"/>
      <c r="C100" s="11"/>
      <c r="D100" s="6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65"/>
      <c r="C101" s="11"/>
      <c r="D101" s="6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65"/>
      <c r="C102" s="11"/>
      <c r="D102" s="6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65"/>
      <c r="C103" s="11"/>
      <c r="D103" s="65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65"/>
      <c r="C104" s="11"/>
      <c r="D104" s="6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65"/>
      <c r="C105" s="11"/>
      <c r="D105" s="65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65"/>
      <c r="C106" s="11"/>
      <c r="D106" s="65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65"/>
      <c r="C107" s="11"/>
      <c r="D107" s="65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65"/>
      <c r="C108" s="11"/>
      <c r="D108" s="6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65"/>
      <c r="C109" s="11"/>
      <c r="D109" s="65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65"/>
      <c r="C110" s="11"/>
      <c r="D110" s="65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65"/>
      <c r="C111" s="11"/>
      <c r="D111" s="65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65"/>
      <c r="C112" s="11"/>
      <c r="D112" s="6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65"/>
      <c r="C113" s="11"/>
      <c r="D113" s="65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65"/>
      <c r="C114" s="11"/>
      <c r="D114" s="65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65"/>
      <c r="C115" s="11"/>
      <c r="D115" s="65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65"/>
      <c r="C116" s="11"/>
      <c r="D116" s="6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65"/>
      <c r="C117" s="11"/>
      <c r="D117" s="65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65"/>
      <c r="C118" s="11"/>
      <c r="D118" s="65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65"/>
      <c r="C119" s="11"/>
      <c r="D119" s="65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65"/>
      <c r="C120" s="11"/>
      <c r="D120" s="6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65"/>
      <c r="C121" s="11"/>
      <c r="D121" s="65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65"/>
      <c r="C122" s="11"/>
      <c r="D122" s="65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65"/>
      <c r="C123" s="11"/>
      <c r="D123" s="65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65"/>
      <c r="C124" s="11"/>
      <c r="D124" s="6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65"/>
      <c r="C125" s="11"/>
      <c r="D125" s="65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65"/>
      <c r="C126" s="11"/>
      <c r="D126" s="65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65"/>
      <c r="C127" s="11"/>
      <c r="D127" s="6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65"/>
      <c r="C128" s="11"/>
      <c r="D128" s="6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65"/>
      <c r="C129" s="11"/>
      <c r="D129" s="65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65"/>
      <c r="C130" s="11"/>
      <c r="D130" s="65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65"/>
      <c r="C131" s="11"/>
      <c r="D131" s="65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65"/>
      <c r="C132" s="11"/>
      <c r="D132" s="6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65"/>
      <c r="C133" s="11"/>
      <c r="D133" s="65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65"/>
      <c r="C134" s="11"/>
      <c r="D134" s="65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65"/>
      <c r="C135" s="11"/>
      <c r="D135" s="65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65"/>
      <c r="C136" s="11"/>
      <c r="D136" s="6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65"/>
      <c r="C137" s="11"/>
      <c r="D137" s="65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65"/>
      <c r="C138" s="11"/>
      <c r="D138" s="65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65"/>
      <c r="C139" s="11"/>
      <c r="D139" s="65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65"/>
      <c r="C140" s="11"/>
      <c r="D140" s="6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65"/>
      <c r="C141" s="11"/>
      <c r="D141" s="65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65"/>
      <c r="C142" s="11"/>
      <c r="D142" s="65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65"/>
      <c r="C143" s="11"/>
      <c r="D143" s="65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65"/>
      <c r="C144" s="11"/>
      <c r="D144" s="6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65"/>
      <c r="C145" s="11"/>
      <c r="D145" s="65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65"/>
      <c r="C146" s="11"/>
      <c r="D146" s="65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65"/>
      <c r="C147" s="11"/>
      <c r="D147" s="65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65"/>
      <c r="C148" s="11"/>
      <c r="D148" s="6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65"/>
      <c r="C149" s="11"/>
      <c r="D149" s="65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65"/>
      <c r="C150" s="11"/>
      <c r="D150" s="65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65"/>
      <c r="C151" s="11"/>
      <c r="D151" s="65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65"/>
      <c r="C152" s="11"/>
      <c r="D152" s="6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65"/>
      <c r="C153" s="11"/>
      <c r="D153" s="65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65"/>
      <c r="C154" s="11"/>
      <c r="D154" s="65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65"/>
      <c r="C155" s="11"/>
      <c r="D155" s="65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65"/>
      <c r="C156" s="11"/>
      <c r="D156" s="6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65"/>
      <c r="C157" s="11"/>
      <c r="D157" s="65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65"/>
      <c r="C158" s="11"/>
      <c r="D158" s="65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65"/>
      <c r="C159" s="11"/>
      <c r="D159" s="65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65"/>
      <c r="C160" s="11"/>
      <c r="D160" s="6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65"/>
      <c r="C161" s="11"/>
      <c r="D161" s="65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65"/>
      <c r="C162" s="11"/>
      <c r="D162" s="65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65"/>
      <c r="C163" s="11"/>
      <c r="D163" s="65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65"/>
      <c r="C164" s="11"/>
      <c r="D164" s="6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65"/>
      <c r="C165" s="11"/>
      <c r="D165" s="65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65"/>
      <c r="C166" s="11"/>
      <c r="D166" s="65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65"/>
      <c r="C167" s="11"/>
      <c r="D167" s="65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65"/>
      <c r="C168" s="11"/>
      <c r="D168" s="6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65"/>
      <c r="C169" s="11"/>
      <c r="D169" s="65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65"/>
      <c r="C170" s="11"/>
      <c r="D170" s="65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65"/>
      <c r="C171" s="11"/>
      <c r="D171" s="65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65"/>
      <c r="C172" s="11"/>
      <c r="D172" s="65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65"/>
      <c r="C173" s="11"/>
      <c r="D173" s="65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65"/>
      <c r="C174" s="11"/>
      <c r="D174" s="65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65"/>
      <c r="C175" s="11"/>
      <c r="D175" s="65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65"/>
      <c r="C176" s="11"/>
      <c r="D176" s="6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65"/>
      <c r="C177" s="11"/>
      <c r="D177" s="65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65"/>
      <c r="C178" s="11"/>
      <c r="D178" s="65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65"/>
      <c r="C179" s="11"/>
      <c r="D179" s="65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65"/>
      <c r="C180" s="11"/>
      <c r="D180" s="6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65"/>
      <c r="C181" s="11"/>
      <c r="D181" s="65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65"/>
      <c r="C182" s="11"/>
      <c r="D182" s="65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65"/>
      <c r="C183" s="11"/>
      <c r="D183" s="65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65"/>
      <c r="C184" s="11"/>
      <c r="D184" s="6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65"/>
      <c r="C185" s="11"/>
      <c r="D185" s="65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65"/>
      <c r="C186" s="11"/>
      <c r="D186" s="65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65"/>
      <c r="C187" s="11"/>
      <c r="D187" s="65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65"/>
      <c r="C188" s="11"/>
      <c r="D188" s="6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65"/>
      <c r="C189" s="11"/>
      <c r="D189" s="65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65"/>
      <c r="C190" s="11"/>
      <c r="D190" s="65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65"/>
      <c r="C191" s="11"/>
      <c r="D191" s="65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65"/>
      <c r="C192" s="11"/>
      <c r="D192" s="6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65"/>
      <c r="C193" s="11"/>
      <c r="D193" s="65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65"/>
      <c r="C194" s="11"/>
      <c r="D194" s="65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65"/>
      <c r="C195" s="11"/>
      <c r="D195" s="65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65"/>
      <c r="C196" s="11"/>
      <c r="D196" s="6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65"/>
      <c r="C197" s="11"/>
      <c r="D197" s="65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65"/>
      <c r="C198" s="11"/>
      <c r="D198" s="65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65"/>
      <c r="C199" s="11"/>
      <c r="D199" s="65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65"/>
      <c r="C200" s="11"/>
      <c r="D200" s="6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65"/>
      <c r="C201" s="11"/>
      <c r="D201" s="65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65"/>
      <c r="C202" s="11"/>
      <c r="D202" s="65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65"/>
      <c r="C203" s="11"/>
      <c r="D203" s="65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65"/>
      <c r="C204" s="11"/>
      <c r="D204" s="6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65"/>
      <c r="C205" s="11"/>
      <c r="D205" s="65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65"/>
      <c r="C206" s="11"/>
      <c r="D206" s="65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65"/>
      <c r="C207" s="11"/>
      <c r="D207" s="65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65"/>
      <c r="C208" s="11"/>
      <c r="D208" s="6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65"/>
      <c r="C209" s="11"/>
      <c r="D209" s="65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65"/>
      <c r="C210" s="11"/>
      <c r="D210" s="65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65"/>
      <c r="C211" s="11"/>
      <c r="D211" s="65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65"/>
      <c r="C212" s="11"/>
      <c r="D212" s="6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65"/>
      <c r="C213" s="11"/>
      <c r="D213" s="65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65"/>
      <c r="C214" s="11"/>
      <c r="D214" s="65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65"/>
      <c r="C215" s="11"/>
      <c r="D215" s="65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65"/>
      <c r="C216" s="11"/>
      <c r="D216" s="6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65"/>
      <c r="C217" s="11"/>
      <c r="D217" s="65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65"/>
      <c r="C218" s="11"/>
      <c r="D218" s="65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65"/>
      <c r="C219" s="11"/>
      <c r="D219" s="65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65"/>
      <c r="C220" s="11"/>
      <c r="D220" s="6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65"/>
      <c r="C221" s="11"/>
      <c r="D221" s="65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65"/>
      <c r="C222" s="11"/>
      <c r="D222" s="65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65"/>
      <c r="C223" s="11"/>
      <c r="D223" s="65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65"/>
      <c r="C224" s="11"/>
      <c r="D224" s="6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65"/>
      <c r="C225" s="11"/>
      <c r="D225" s="65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65"/>
      <c r="C226" s="11"/>
      <c r="D226" s="65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65"/>
      <c r="C227" s="11"/>
      <c r="D227" s="65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65"/>
      <c r="C228" s="11"/>
      <c r="D228" s="6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65"/>
      <c r="C229" s="11"/>
      <c r="D229" s="65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65"/>
      <c r="C230" s="11"/>
      <c r="D230" s="65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65"/>
      <c r="C231" s="11"/>
      <c r="D231" s="65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65"/>
      <c r="C232" s="11"/>
      <c r="D232" s="6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65"/>
      <c r="C233" s="11"/>
      <c r="D233" s="65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65"/>
      <c r="C234" s="11"/>
      <c r="D234" s="65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65"/>
      <c r="C235" s="11"/>
      <c r="D235" s="65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65"/>
      <c r="C236" s="11"/>
      <c r="D236" s="6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65"/>
      <c r="C237" s="11"/>
      <c r="D237" s="65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65"/>
      <c r="C238" s="11"/>
      <c r="D238" s="65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65"/>
      <c r="C239" s="11"/>
      <c r="D239" s="65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65"/>
      <c r="C240" s="11"/>
      <c r="D240" s="6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65"/>
      <c r="C241" s="11"/>
      <c r="D241" s="65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65"/>
      <c r="C242" s="11"/>
      <c r="D242" s="65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65"/>
      <c r="C243" s="11"/>
      <c r="D243" s="65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65"/>
      <c r="C244" s="11"/>
      <c r="D244" s="65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65"/>
      <c r="C245" s="11"/>
      <c r="D245" s="65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65"/>
      <c r="C246" s="11"/>
      <c r="D246" s="65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65"/>
      <c r="C247" s="11"/>
      <c r="D247" s="65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65"/>
      <c r="C248" s="11"/>
      <c r="D248" s="65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65"/>
      <c r="C249" s="11"/>
      <c r="D249" s="65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65"/>
      <c r="C250" s="11"/>
      <c r="D250" s="65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65"/>
      <c r="C251" s="11"/>
      <c r="D251" s="65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65"/>
      <c r="C252" s="11"/>
      <c r="D252" s="65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65"/>
      <c r="C253" s="11"/>
      <c r="D253" s="65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65"/>
      <c r="C254" s="11"/>
      <c r="D254" s="65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65"/>
      <c r="C255" s="11"/>
      <c r="D255" s="65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65"/>
      <c r="C256" s="11"/>
      <c r="D256" s="65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65"/>
      <c r="C257" s="11"/>
      <c r="D257" s="65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65"/>
      <c r="C258" s="11"/>
      <c r="D258" s="65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65"/>
      <c r="C259" s="11"/>
      <c r="D259" s="65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65"/>
      <c r="C260" s="11"/>
      <c r="D260" s="65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65"/>
      <c r="C261" s="11"/>
      <c r="D261" s="65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65"/>
      <c r="C262" s="11"/>
      <c r="D262" s="65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65"/>
      <c r="C263" s="11"/>
      <c r="D263" s="65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65"/>
      <c r="C264" s="11"/>
      <c r="D264" s="65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65"/>
      <c r="C265" s="11"/>
      <c r="D265" s="65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65"/>
      <c r="C266" s="11"/>
      <c r="D266" s="65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65"/>
      <c r="C267" s="11"/>
      <c r="D267" s="65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65"/>
      <c r="C268" s="11"/>
      <c r="D268" s="65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65"/>
      <c r="C269" s="11"/>
      <c r="D269" s="65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65"/>
      <c r="C270" s="11"/>
      <c r="D270" s="65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65"/>
      <c r="C271" s="11"/>
      <c r="D271" s="65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65"/>
      <c r="C272" s="11"/>
      <c r="D272" s="65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65"/>
      <c r="C273" s="11"/>
      <c r="D273" s="65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65"/>
      <c r="C274" s="11"/>
      <c r="D274" s="65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65"/>
      <c r="C275" s="11"/>
      <c r="D275" s="65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65"/>
      <c r="C276" s="11"/>
      <c r="D276" s="65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65"/>
      <c r="C277" s="11"/>
      <c r="D277" s="65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65"/>
      <c r="C278" s="11"/>
      <c r="D278" s="65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65"/>
      <c r="C279" s="11"/>
      <c r="D279" s="65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65"/>
      <c r="C280" s="11"/>
      <c r="D280" s="65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65"/>
      <c r="C281" s="11"/>
      <c r="D281" s="65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65"/>
      <c r="C282" s="11"/>
      <c r="D282" s="65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65"/>
      <c r="C283" s="11"/>
      <c r="D283" s="65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65"/>
      <c r="C284" s="11"/>
      <c r="D284" s="65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65"/>
      <c r="C285" s="11"/>
      <c r="D285" s="65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65"/>
      <c r="C286" s="11"/>
      <c r="D286" s="65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65"/>
      <c r="C287" s="11"/>
      <c r="D287" s="65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65"/>
      <c r="C288" s="11"/>
      <c r="D288" s="65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65"/>
      <c r="C289" s="11"/>
      <c r="D289" s="65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65"/>
      <c r="C290" s="11"/>
      <c r="D290" s="65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65"/>
      <c r="C291" s="11"/>
      <c r="D291" s="65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65"/>
      <c r="C292" s="11"/>
      <c r="D292" s="65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65"/>
      <c r="C293" s="11"/>
      <c r="D293" s="65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65"/>
      <c r="C294" s="11"/>
      <c r="D294" s="65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65"/>
      <c r="C295" s="11"/>
      <c r="D295" s="65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65"/>
      <c r="C296" s="11"/>
      <c r="D296" s="65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65"/>
      <c r="C297" s="11"/>
      <c r="D297" s="65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65"/>
      <c r="C298" s="11"/>
      <c r="D298" s="65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65"/>
      <c r="C299" s="11"/>
      <c r="D299" s="65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65"/>
      <c r="C300" s="11"/>
      <c r="D300" s="65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65"/>
      <c r="C301" s="11"/>
      <c r="D301" s="65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65"/>
      <c r="C302" s="11"/>
      <c r="D302" s="65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65"/>
      <c r="C303" s="11"/>
      <c r="D303" s="65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65"/>
      <c r="C304" s="11"/>
      <c r="D304" s="65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65"/>
      <c r="C305" s="11"/>
      <c r="D305" s="65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65"/>
      <c r="C306" s="11"/>
      <c r="D306" s="65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65"/>
      <c r="C307" s="11"/>
      <c r="D307" s="65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65"/>
      <c r="C308" s="11"/>
      <c r="D308" s="65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65"/>
      <c r="C309" s="11"/>
      <c r="D309" s="65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65"/>
      <c r="C310" s="11"/>
      <c r="D310" s="65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65"/>
      <c r="C311" s="11"/>
      <c r="D311" s="65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65"/>
      <c r="C312" s="11"/>
      <c r="D312" s="65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65"/>
      <c r="C313" s="11"/>
      <c r="D313" s="65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65"/>
      <c r="C314" s="11"/>
      <c r="D314" s="65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65"/>
      <c r="C315" s="11"/>
      <c r="D315" s="65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65"/>
      <c r="C316" s="11"/>
      <c r="D316" s="65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65"/>
      <c r="C317" s="11"/>
      <c r="D317" s="65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65"/>
      <c r="C318" s="11"/>
      <c r="D318" s="65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65"/>
      <c r="C319" s="11"/>
      <c r="D319" s="65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65"/>
      <c r="C320" s="11"/>
      <c r="D320" s="65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65"/>
      <c r="C321" s="11"/>
      <c r="D321" s="65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65"/>
      <c r="C322" s="11"/>
      <c r="D322" s="65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65"/>
      <c r="C323" s="11"/>
      <c r="D323" s="65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65"/>
      <c r="C324" s="11"/>
      <c r="D324" s="65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65"/>
      <c r="C325" s="11"/>
      <c r="D325" s="65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65"/>
      <c r="C326" s="11"/>
      <c r="D326" s="65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65"/>
      <c r="C327" s="11"/>
      <c r="D327" s="65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65"/>
      <c r="C328" s="11"/>
      <c r="D328" s="65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65"/>
      <c r="C329" s="11"/>
      <c r="D329" s="65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65"/>
      <c r="C330" s="11"/>
      <c r="D330" s="65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65"/>
      <c r="C331" s="11"/>
      <c r="D331" s="65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65"/>
      <c r="C332" s="11"/>
      <c r="D332" s="65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65"/>
      <c r="C333" s="11"/>
      <c r="D333" s="65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65"/>
      <c r="C334" s="11"/>
      <c r="D334" s="65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65"/>
      <c r="C335" s="11"/>
      <c r="D335" s="65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65"/>
      <c r="C336" s="11"/>
      <c r="D336" s="65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65"/>
      <c r="C337" s="11"/>
      <c r="D337" s="65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65"/>
      <c r="C338" s="11"/>
      <c r="D338" s="6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65"/>
      <c r="C339" s="11"/>
      <c r="D339" s="65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65"/>
      <c r="C340" s="11"/>
      <c r="D340" s="65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65"/>
      <c r="C341" s="11"/>
      <c r="D341" s="65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65"/>
      <c r="C342" s="11"/>
      <c r="D342" s="65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65"/>
      <c r="C343" s="11"/>
      <c r="D343" s="65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65"/>
      <c r="C344" s="11"/>
      <c r="D344" s="65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65"/>
      <c r="C345" s="11"/>
      <c r="D345" s="65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65"/>
      <c r="C346" s="11"/>
      <c r="D346" s="65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65"/>
      <c r="C347" s="11"/>
      <c r="D347" s="65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65"/>
      <c r="C348" s="11"/>
      <c r="D348" s="65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65"/>
      <c r="C349" s="11"/>
      <c r="D349" s="65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65"/>
      <c r="C350" s="11"/>
      <c r="D350" s="65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65"/>
      <c r="C351" s="11"/>
      <c r="D351" s="65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65"/>
      <c r="C352" s="11"/>
      <c r="D352" s="65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65"/>
      <c r="C353" s="11"/>
      <c r="D353" s="65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65"/>
      <c r="C354" s="11"/>
      <c r="D354" s="65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65"/>
      <c r="C355" s="11"/>
      <c r="D355" s="65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65"/>
      <c r="C356" s="11"/>
      <c r="D356" s="65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65"/>
      <c r="C357" s="11"/>
      <c r="D357" s="65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65"/>
      <c r="C358" s="11"/>
      <c r="D358" s="65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65"/>
      <c r="C359" s="11"/>
      <c r="D359" s="65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65"/>
      <c r="C360" s="11"/>
      <c r="D360" s="65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65"/>
      <c r="C361" s="11"/>
      <c r="D361" s="65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65"/>
      <c r="C362" s="11"/>
      <c r="D362" s="65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65"/>
      <c r="C363" s="11"/>
      <c r="D363" s="65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65"/>
      <c r="C364" s="11"/>
      <c r="D364" s="65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65"/>
      <c r="C365" s="11"/>
      <c r="D365" s="65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65"/>
      <c r="C366" s="11"/>
      <c r="D366" s="65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65"/>
      <c r="C367" s="11"/>
      <c r="D367" s="65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65"/>
      <c r="C368" s="11"/>
      <c r="D368" s="65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65"/>
      <c r="C369" s="11"/>
      <c r="D369" s="65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65"/>
      <c r="C370" s="11"/>
      <c r="D370" s="65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65"/>
      <c r="C371" s="11"/>
      <c r="D371" s="65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65"/>
      <c r="C372" s="11"/>
      <c r="D372" s="65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65"/>
      <c r="C373" s="11"/>
      <c r="D373" s="65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65"/>
      <c r="C374" s="11"/>
      <c r="D374" s="65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65"/>
      <c r="C375" s="11"/>
      <c r="D375" s="65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65"/>
      <c r="C376" s="11"/>
      <c r="D376" s="65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65"/>
      <c r="C377" s="11"/>
      <c r="D377" s="65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65"/>
      <c r="C378" s="11"/>
      <c r="D378" s="65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65"/>
      <c r="C379" s="11"/>
      <c r="D379" s="65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65"/>
      <c r="C380" s="11"/>
      <c r="D380" s="65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65"/>
      <c r="C381" s="11"/>
      <c r="D381" s="65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65"/>
      <c r="C382" s="11"/>
      <c r="D382" s="65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65"/>
      <c r="C383" s="11"/>
      <c r="D383" s="65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65"/>
      <c r="C384" s="11"/>
      <c r="D384" s="65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65"/>
      <c r="C385" s="11"/>
      <c r="D385" s="65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65"/>
      <c r="C386" s="11"/>
      <c r="D386" s="65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65"/>
      <c r="C387" s="11"/>
      <c r="D387" s="65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65"/>
      <c r="C388" s="11"/>
      <c r="D388" s="65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65"/>
      <c r="C389" s="11"/>
      <c r="D389" s="65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65"/>
      <c r="C390" s="11"/>
      <c r="D390" s="65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65"/>
      <c r="C391" s="11"/>
      <c r="D391" s="65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65"/>
      <c r="C392" s="11"/>
      <c r="D392" s="65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65"/>
      <c r="C393" s="11"/>
      <c r="D393" s="65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65"/>
      <c r="C394" s="11"/>
      <c r="D394" s="65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65"/>
      <c r="C395" s="11"/>
      <c r="D395" s="65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65"/>
      <c r="C396" s="11"/>
      <c r="D396" s="65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65"/>
      <c r="C397" s="11"/>
      <c r="D397" s="65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65"/>
      <c r="C398" s="11"/>
      <c r="D398" s="65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65"/>
      <c r="C399" s="11"/>
      <c r="D399" s="65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65"/>
      <c r="C400" s="11"/>
      <c r="D400" s="65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65"/>
      <c r="C401" s="11"/>
      <c r="D401" s="65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65"/>
      <c r="C402" s="11"/>
      <c r="D402" s="65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65"/>
      <c r="C403" s="11"/>
      <c r="D403" s="65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65"/>
      <c r="C404" s="11"/>
      <c r="D404" s="65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65"/>
      <c r="C405" s="11"/>
      <c r="D405" s="65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65"/>
      <c r="C406" s="11"/>
      <c r="D406" s="65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65"/>
      <c r="C407" s="11"/>
      <c r="D407" s="65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65"/>
      <c r="C408" s="11"/>
      <c r="D408" s="65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65"/>
      <c r="C409" s="11"/>
      <c r="D409" s="65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65"/>
      <c r="C410" s="11"/>
      <c r="D410" s="65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65"/>
      <c r="C411" s="11"/>
      <c r="D411" s="65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65"/>
      <c r="C412" s="11"/>
      <c r="D412" s="65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65"/>
      <c r="C413" s="11"/>
      <c r="D413" s="65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65"/>
      <c r="C414" s="11"/>
      <c r="D414" s="65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65"/>
      <c r="C415" s="11"/>
      <c r="D415" s="65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65"/>
      <c r="C416" s="11"/>
      <c r="D416" s="65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65"/>
      <c r="C417" s="11"/>
      <c r="D417" s="65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65"/>
      <c r="C418" s="11"/>
      <c r="D418" s="65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65"/>
      <c r="C419" s="11"/>
      <c r="D419" s="65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65"/>
      <c r="C420" s="11"/>
      <c r="D420" s="65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65"/>
      <c r="C421" s="11"/>
      <c r="D421" s="65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65"/>
      <c r="C422" s="11"/>
      <c r="D422" s="65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65"/>
      <c r="C423" s="11"/>
      <c r="D423" s="65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65"/>
      <c r="C424" s="11"/>
      <c r="D424" s="65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65"/>
      <c r="C425" s="11"/>
      <c r="D425" s="65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65"/>
      <c r="C426" s="11"/>
      <c r="D426" s="65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65"/>
      <c r="C427" s="11"/>
      <c r="D427" s="65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65"/>
      <c r="C428" s="11"/>
      <c r="D428" s="65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65"/>
      <c r="C429" s="11"/>
      <c r="D429" s="65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65"/>
      <c r="C430" s="11"/>
      <c r="D430" s="65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65"/>
      <c r="C431" s="11"/>
      <c r="D431" s="65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65"/>
      <c r="C432" s="11"/>
      <c r="D432" s="65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65"/>
      <c r="C433" s="11"/>
      <c r="D433" s="65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65"/>
      <c r="C434" s="11"/>
      <c r="D434" s="65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65"/>
      <c r="C435" s="11"/>
      <c r="D435" s="65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65"/>
      <c r="C436" s="11"/>
      <c r="D436" s="65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65"/>
      <c r="C437" s="11"/>
      <c r="D437" s="65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65"/>
      <c r="C438" s="11"/>
      <c r="D438" s="65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65"/>
      <c r="C439" s="11"/>
      <c r="D439" s="65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65"/>
      <c r="C440" s="11"/>
      <c r="D440" s="65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65"/>
      <c r="C441" s="11"/>
      <c r="D441" s="65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65"/>
      <c r="C442" s="11"/>
      <c r="D442" s="65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65"/>
      <c r="C443" s="11"/>
      <c r="D443" s="65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65"/>
      <c r="C444" s="11"/>
      <c r="D444" s="65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65"/>
      <c r="C445" s="11"/>
      <c r="D445" s="65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65"/>
      <c r="C446" s="11"/>
      <c r="D446" s="65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65"/>
      <c r="C447" s="11"/>
      <c r="D447" s="65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65"/>
      <c r="C448" s="11"/>
      <c r="D448" s="65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65"/>
      <c r="C449" s="11"/>
      <c r="D449" s="65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65"/>
      <c r="C450" s="11"/>
      <c r="D450" s="65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65"/>
      <c r="C451" s="11"/>
      <c r="D451" s="65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65"/>
      <c r="C452" s="11"/>
      <c r="D452" s="65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65"/>
      <c r="C453" s="11"/>
      <c r="D453" s="65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65"/>
      <c r="C454" s="11"/>
      <c r="D454" s="65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65"/>
      <c r="C455" s="11"/>
      <c r="D455" s="65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65"/>
      <c r="C456" s="11"/>
      <c r="D456" s="65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65"/>
      <c r="C457" s="11"/>
      <c r="D457" s="65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65"/>
      <c r="C458" s="11"/>
      <c r="D458" s="65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65"/>
      <c r="C459" s="11"/>
      <c r="D459" s="65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65"/>
      <c r="C460" s="11"/>
      <c r="D460" s="65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65"/>
      <c r="C461" s="11"/>
      <c r="D461" s="65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65"/>
      <c r="C462" s="11"/>
      <c r="D462" s="65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65"/>
      <c r="C463" s="11"/>
      <c r="D463" s="65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65"/>
      <c r="C464" s="11"/>
      <c r="D464" s="65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65"/>
      <c r="C465" s="11"/>
      <c r="D465" s="65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65"/>
      <c r="C466" s="11"/>
      <c r="D466" s="65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65"/>
      <c r="C467" s="11"/>
      <c r="D467" s="65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65"/>
      <c r="C468" s="11"/>
      <c r="D468" s="65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65"/>
      <c r="C469" s="11"/>
      <c r="D469" s="65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65"/>
      <c r="C470" s="11"/>
      <c r="D470" s="65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65"/>
      <c r="C471" s="11"/>
      <c r="D471" s="65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65"/>
      <c r="C472" s="11"/>
      <c r="D472" s="65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65"/>
      <c r="C473" s="11"/>
      <c r="D473" s="65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65"/>
      <c r="C474" s="11"/>
      <c r="D474" s="65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65"/>
      <c r="C475" s="11"/>
      <c r="D475" s="65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65"/>
      <c r="C476" s="11"/>
      <c r="D476" s="65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65"/>
      <c r="C477" s="11"/>
      <c r="D477" s="65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65"/>
      <c r="C478" s="11"/>
      <c r="D478" s="65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65"/>
      <c r="C479" s="11"/>
      <c r="D479" s="65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65"/>
      <c r="C480" s="11"/>
      <c r="D480" s="65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65"/>
      <c r="C481" s="11"/>
      <c r="D481" s="65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65"/>
      <c r="C482" s="11"/>
      <c r="D482" s="65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65"/>
      <c r="C483" s="11"/>
      <c r="D483" s="65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65"/>
      <c r="C484" s="11"/>
      <c r="D484" s="65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65"/>
      <c r="C485" s="11"/>
      <c r="D485" s="65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65"/>
      <c r="C486" s="11"/>
      <c r="D486" s="65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65"/>
      <c r="C487" s="11"/>
      <c r="D487" s="65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65"/>
      <c r="C488" s="11"/>
      <c r="D488" s="65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65"/>
      <c r="C489" s="11"/>
      <c r="D489" s="65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65"/>
      <c r="C490" s="11"/>
      <c r="D490" s="65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65"/>
      <c r="C491" s="11"/>
      <c r="D491" s="65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65"/>
      <c r="C492" s="11"/>
      <c r="D492" s="65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65"/>
      <c r="C493" s="11"/>
      <c r="D493" s="65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65"/>
      <c r="C494" s="11"/>
      <c r="D494" s="65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65"/>
      <c r="C495" s="11"/>
      <c r="D495" s="65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65"/>
      <c r="C496" s="11"/>
      <c r="D496" s="65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65"/>
      <c r="C497" s="11"/>
      <c r="D497" s="65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65"/>
      <c r="C498" s="11"/>
      <c r="D498" s="65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65"/>
      <c r="C499" s="11"/>
      <c r="D499" s="65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65"/>
      <c r="C500" s="11"/>
      <c r="D500" s="65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65"/>
      <c r="C501" s="11"/>
      <c r="D501" s="65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65"/>
      <c r="C502" s="11"/>
      <c r="D502" s="65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65"/>
      <c r="C503" s="11"/>
      <c r="D503" s="65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65"/>
      <c r="C504" s="11"/>
      <c r="D504" s="65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65"/>
      <c r="C505" s="11"/>
      <c r="D505" s="65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65"/>
      <c r="C506" s="11"/>
      <c r="D506" s="65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65"/>
      <c r="C507" s="11"/>
      <c r="D507" s="65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65"/>
      <c r="C508" s="11"/>
      <c r="D508" s="65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65"/>
      <c r="C509" s="11"/>
      <c r="D509" s="65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65"/>
      <c r="C510" s="11"/>
      <c r="D510" s="65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65"/>
      <c r="C511" s="11"/>
      <c r="D511" s="65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65"/>
      <c r="C512" s="11"/>
      <c r="D512" s="65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65"/>
      <c r="C513" s="11"/>
      <c r="D513" s="65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65"/>
      <c r="C514" s="11"/>
      <c r="D514" s="65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65"/>
      <c r="C515" s="11"/>
      <c r="D515" s="65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65"/>
      <c r="C516" s="11"/>
      <c r="D516" s="65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65"/>
      <c r="C517" s="11"/>
      <c r="D517" s="65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65"/>
      <c r="C518" s="11"/>
      <c r="D518" s="65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65"/>
      <c r="C519" s="11"/>
      <c r="D519" s="65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65"/>
      <c r="C520" s="11"/>
      <c r="D520" s="65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65"/>
      <c r="C521" s="11"/>
      <c r="D521" s="65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65"/>
      <c r="C522" s="11"/>
      <c r="D522" s="65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65"/>
      <c r="C523" s="11"/>
      <c r="D523" s="65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65"/>
      <c r="C524" s="11"/>
      <c r="D524" s="65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65"/>
      <c r="C525" s="11"/>
      <c r="D525" s="65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65"/>
      <c r="C526" s="11"/>
      <c r="D526" s="65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65"/>
      <c r="C527" s="11"/>
      <c r="D527" s="65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65"/>
      <c r="C528" s="11"/>
      <c r="D528" s="65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65"/>
      <c r="C529" s="11"/>
      <c r="D529" s="65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65"/>
      <c r="C530" s="11"/>
      <c r="D530" s="65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65"/>
      <c r="C531" s="11"/>
      <c r="D531" s="65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65"/>
      <c r="C532" s="11"/>
      <c r="D532" s="65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65"/>
      <c r="C533" s="11"/>
      <c r="D533" s="65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65"/>
      <c r="C534" s="11"/>
      <c r="D534" s="65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65"/>
      <c r="C535" s="11"/>
      <c r="D535" s="65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65"/>
      <c r="C536" s="11"/>
      <c r="D536" s="65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65"/>
      <c r="C537" s="11"/>
      <c r="D537" s="65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65"/>
      <c r="C538" s="11"/>
      <c r="D538" s="65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65"/>
      <c r="C539" s="11"/>
      <c r="D539" s="65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65"/>
      <c r="C540" s="11"/>
      <c r="D540" s="65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65"/>
      <c r="C541" s="11"/>
      <c r="D541" s="65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65"/>
      <c r="C542" s="11"/>
      <c r="D542" s="65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65"/>
      <c r="C543" s="11"/>
      <c r="D543" s="65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65"/>
      <c r="C544" s="11"/>
      <c r="D544" s="65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65"/>
      <c r="C545" s="11"/>
      <c r="D545" s="65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65"/>
      <c r="C546" s="11"/>
      <c r="D546" s="65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65"/>
      <c r="C547" s="11"/>
      <c r="D547" s="65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65"/>
      <c r="C548" s="11"/>
      <c r="D548" s="65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65"/>
      <c r="C549" s="11"/>
      <c r="D549" s="65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65"/>
      <c r="C550" s="11"/>
      <c r="D550" s="65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65"/>
      <c r="C551" s="11"/>
      <c r="D551" s="65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65"/>
      <c r="C552" s="11"/>
      <c r="D552" s="65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65"/>
      <c r="C553" s="11"/>
      <c r="D553" s="65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65"/>
      <c r="C554" s="11"/>
      <c r="D554" s="65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65"/>
      <c r="C555" s="11"/>
      <c r="D555" s="65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65"/>
      <c r="C556" s="11"/>
      <c r="D556" s="65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65"/>
      <c r="C557" s="11"/>
      <c r="D557" s="65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65"/>
      <c r="C558" s="11"/>
      <c r="D558" s="65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65"/>
      <c r="C559" s="11"/>
      <c r="D559" s="65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65"/>
      <c r="C560" s="11"/>
      <c r="D560" s="65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65"/>
      <c r="C561" s="11"/>
      <c r="D561" s="65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65"/>
      <c r="C562" s="11"/>
      <c r="D562" s="65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65"/>
      <c r="C563" s="11"/>
      <c r="D563" s="65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65"/>
      <c r="C564" s="11"/>
      <c r="D564" s="65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65"/>
      <c r="C565" s="11"/>
      <c r="D565" s="65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65"/>
      <c r="C566" s="11"/>
      <c r="D566" s="65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65"/>
      <c r="C567" s="11"/>
      <c r="D567" s="65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65"/>
      <c r="C568" s="11"/>
      <c r="D568" s="65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65"/>
      <c r="C569" s="11"/>
      <c r="D569" s="65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65"/>
      <c r="C570" s="11"/>
      <c r="D570" s="65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65"/>
      <c r="C571" s="11"/>
      <c r="D571" s="65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65"/>
      <c r="C572" s="11"/>
      <c r="D572" s="65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65"/>
      <c r="C573" s="11"/>
      <c r="D573" s="65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65"/>
      <c r="C574" s="11"/>
      <c r="D574" s="65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65"/>
      <c r="C575" s="11"/>
      <c r="D575" s="65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65"/>
      <c r="C576" s="11"/>
      <c r="D576" s="65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65"/>
      <c r="C577" s="11"/>
      <c r="D577" s="65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65"/>
      <c r="C578" s="11"/>
      <c r="D578" s="65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65"/>
      <c r="C579" s="11"/>
      <c r="D579" s="65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65"/>
      <c r="C580" s="11"/>
      <c r="D580" s="65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65"/>
      <c r="C581" s="11"/>
      <c r="D581" s="65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65"/>
      <c r="C582" s="11"/>
      <c r="D582" s="65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65"/>
      <c r="C583" s="11"/>
      <c r="D583" s="65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65"/>
      <c r="C584" s="11"/>
      <c r="D584" s="65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65"/>
      <c r="C585" s="11"/>
      <c r="D585" s="65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65"/>
      <c r="C586" s="11"/>
      <c r="D586" s="65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65"/>
      <c r="C587" s="11"/>
      <c r="D587" s="65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65"/>
      <c r="C588" s="11"/>
      <c r="D588" s="65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65"/>
      <c r="C589" s="11"/>
      <c r="D589" s="65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65"/>
      <c r="C590" s="11"/>
      <c r="D590" s="65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65"/>
      <c r="C591" s="11"/>
      <c r="D591" s="65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65"/>
      <c r="C592" s="11"/>
      <c r="D592" s="65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65"/>
      <c r="C593" s="11"/>
      <c r="D593" s="65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65"/>
      <c r="C594" s="11"/>
      <c r="D594" s="65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65"/>
      <c r="C595" s="11"/>
      <c r="D595" s="65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65"/>
      <c r="C596" s="11"/>
      <c r="D596" s="65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65"/>
      <c r="C597" s="11"/>
      <c r="D597" s="65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65"/>
      <c r="C598" s="11"/>
      <c r="D598" s="65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65"/>
      <c r="C599" s="11"/>
      <c r="D599" s="65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65"/>
      <c r="C600" s="11"/>
      <c r="D600" s="65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65"/>
      <c r="C601" s="11"/>
      <c r="D601" s="65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65"/>
      <c r="C602" s="11"/>
      <c r="D602" s="65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65"/>
      <c r="C603" s="11"/>
      <c r="D603" s="65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65"/>
      <c r="C604" s="11"/>
      <c r="D604" s="65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65"/>
      <c r="C605" s="11"/>
      <c r="D605" s="65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65"/>
      <c r="C606" s="11"/>
      <c r="D606" s="65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65"/>
      <c r="C607" s="11"/>
      <c r="D607" s="65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65"/>
      <c r="C608" s="11"/>
      <c r="D608" s="65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65"/>
      <c r="C609" s="11"/>
      <c r="D609" s="65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65"/>
      <c r="C610" s="11"/>
      <c r="D610" s="65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65"/>
      <c r="C611" s="11"/>
      <c r="D611" s="65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65"/>
      <c r="C612" s="11"/>
      <c r="D612" s="65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65"/>
      <c r="C613" s="11"/>
      <c r="D613" s="65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65"/>
      <c r="C614" s="11"/>
      <c r="D614" s="65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65"/>
      <c r="C615" s="11"/>
      <c r="D615" s="65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65"/>
      <c r="C616" s="11"/>
      <c r="D616" s="65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65"/>
      <c r="C617" s="11"/>
      <c r="D617" s="65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65"/>
      <c r="C618" s="11"/>
      <c r="D618" s="65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65"/>
      <c r="C619" s="11"/>
      <c r="D619" s="65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65"/>
      <c r="C620" s="11"/>
      <c r="D620" s="65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65"/>
      <c r="C621" s="11"/>
      <c r="D621" s="65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65"/>
      <c r="C622" s="11"/>
      <c r="D622" s="65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65"/>
      <c r="C623" s="11"/>
      <c r="D623" s="65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65"/>
      <c r="C624" s="11"/>
      <c r="D624" s="65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65"/>
      <c r="C625" s="11"/>
      <c r="D625" s="65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65"/>
      <c r="C626" s="11"/>
      <c r="D626" s="65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65"/>
      <c r="C627" s="11"/>
      <c r="D627" s="65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65"/>
      <c r="C628" s="11"/>
      <c r="D628" s="65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65"/>
      <c r="C629" s="11"/>
      <c r="D629" s="65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65"/>
      <c r="C630" s="11"/>
      <c r="D630" s="65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65"/>
      <c r="C631" s="11"/>
      <c r="D631" s="65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65"/>
      <c r="C632" s="11"/>
      <c r="D632" s="65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65"/>
      <c r="C633" s="11"/>
      <c r="D633" s="65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65"/>
      <c r="C634" s="11"/>
      <c r="D634" s="65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65"/>
      <c r="C635" s="11"/>
      <c r="D635" s="65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65"/>
      <c r="C636" s="11"/>
      <c r="D636" s="65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65"/>
      <c r="C637" s="11"/>
      <c r="D637" s="65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65"/>
      <c r="C638" s="11"/>
      <c r="D638" s="65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65"/>
      <c r="C639" s="11"/>
      <c r="D639" s="65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65"/>
      <c r="C640" s="11"/>
      <c r="D640" s="65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65"/>
      <c r="C641" s="11"/>
      <c r="D641" s="65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65"/>
      <c r="C642" s="11"/>
      <c r="D642" s="65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65"/>
      <c r="C643" s="11"/>
      <c r="D643" s="65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65"/>
      <c r="C644" s="11"/>
      <c r="D644" s="65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65"/>
      <c r="C645" s="11"/>
      <c r="D645" s="65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65"/>
      <c r="C646" s="11"/>
      <c r="D646" s="65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65"/>
      <c r="C647" s="11"/>
      <c r="D647" s="65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65"/>
      <c r="C648" s="11"/>
      <c r="D648" s="65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65"/>
      <c r="C649" s="11"/>
      <c r="D649" s="65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65"/>
      <c r="C650" s="11"/>
      <c r="D650" s="65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65"/>
      <c r="C651" s="11"/>
      <c r="D651" s="65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65"/>
      <c r="C652" s="11"/>
      <c r="D652" s="65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65"/>
      <c r="C653" s="11"/>
      <c r="D653" s="65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65"/>
      <c r="C654" s="11"/>
      <c r="D654" s="65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65"/>
      <c r="C655" s="11"/>
      <c r="D655" s="65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65"/>
      <c r="C656" s="11"/>
      <c r="D656" s="65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65"/>
      <c r="C657" s="11"/>
      <c r="D657" s="65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65"/>
      <c r="C658" s="11"/>
      <c r="D658" s="65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65"/>
      <c r="C659" s="11"/>
      <c r="D659" s="65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65"/>
      <c r="C660" s="11"/>
      <c r="D660" s="65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65"/>
      <c r="C661" s="11"/>
      <c r="D661" s="65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65"/>
      <c r="C662" s="11"/>
      <c r="D662" s="65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65"/>
      <c r="C663" s="11"/>
      <c r="D663" s="65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65"/>
      <c r="C664" s="11"/>
      <c r="D664" s="65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65"/>
      <c r="C665" s="11"/>
      <c r="D665" s="65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65"/>
      <c r="C666" s="11"/>
      <c r="D666" s="65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65"/>
      <c r="C667" s="11"/>
      <c r="D667" s="65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65"/>
      <c r="C668" s="11"/>
      <c r="D668" s="65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65"/>
      <c r="C669" s="11"/>
      <c r="D669" s="65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65"/>
      <c r="C670" s="11"/>
      <c r="D670" s="65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65"/>
      <c r="C671" s="11"/>
      <c r="D671" s="65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65"/>
      <c r="C672" s="11"/>
      <c r="D672" s="65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65"/>
      <c r="C673" s="11"/>
      <c r="D673" s="65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65"/>
      <c r="C674" s="11"/>
      <c r="D674" s="65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65"/>
      <c r="C675" s="11"/>
      <c r="D675" s="65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65"/>
      <c r="C676" s="11"/>
      <c r="D676" s="65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65"/>
      <c r="C677" s="11"/>
      <c r="D677" s="65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65"/>
      <c r="C678" s="11"/>
      <c r="D678" s="65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65"/>
      <c r="C679" s="11"/>
      <c r="D679" s="65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65"/>
      <c r="C680" s="11"/>
      <c r="D680" s="65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65"/>
      <c r="C681" s="11"/>
      <c r="D681" s="65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65"/>
      <c r="C682" s="11"/>
      <c r="D682" s="65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65"/>
      <c r="C683" s="11"/>
      <c r="D683" s="65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65"/>
      <c r="C684" s="11"/>
      <c r="D684" s="65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65"/>
      <c r="C685" s="11"/>
      <c r="D685" s="65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65"/>
      <c r="C686" s="11"/>
      <c r="D686" s="65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65"/>
      <c r="C687" s="11"/>
      <c r="D687" s="65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65"/>
      <c r="C688" s="11"/>
      <c r="D688" s="65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65"/>
      <c r="C689" s="11"/>
      <c r="D689" s="65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65"/>
      <c r="C690" s="11"/>
      <c r="D690" s="65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65"/>
      <c r="C691" s="11"/>
      <c r="D691" s="65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65"/>
      <c r="C692" s="11"/>
      <c r="D692" s="65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65"/>
      <c r="C693" s="11"/>
      <c r="D693" s="65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65"/>
      <c r="C694" s="11"/>
      <c r="D694" s="65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65"/>
      <c r="C695" s="11"/>
      <c r="D695" s="65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65"/>
      <c r="C696" s="11"/>
      <c r="D696" s="65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65"/>
      <c r="C697" s="11"/>
      <c r="D697" s="65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65"/>
      <c r="C698" s="11"/>
      <c r="D698" s="65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65"/>
      <c r="C699" s="11"/>
      <c r="D699" s="65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65"/>
      <c r="C700" s="11"/>
      <c r="D700" s="65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65"/>
      <c r="C701" s="11"/>
      <c r="D701" s="65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65"/>
      <c r="C702" s="11"/>
      <c r="D702" s="65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65"/>
      <c r="C703" s="11"/>
      <c r="D703" s="65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65"/>
      <c r="C704" s="11"/>
      <c r="D704" s="65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65"/>
      <c r="C705" s="11"/>
      <c r="D705" s="65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65"/>
      <c r="C706" s="11"/>
      <c r="D706" s="65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65"/>
      <c r="C707" s="11"/>
      <c r="D707" s="65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65"/>
      <c r="C708" s="11"/>
      <c r="D708" s="65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65"/>
      <c r="C709" s="11"/>
      <c r="D709" s="65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65"/>
      <c r="C710" s="11"/>
      <c r="D710" s="65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65"/>
      <c r="C711" s="11"/>
      <c r="D711" s="65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65"/>
      <c r="C712" s="11"/>
      <c r="D712" s="65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65"/>
      <c r="C713" s="11"/>
      <c r="D713" s="65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65"/>
      <c r="C714" s="11"/>
      <c r="D714" s="65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65"/>
      <c r="C715" s="11"/>
      <c r="D715" s="65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65"/>
      <c r="C716" s="11"/>
      <c r="D716" s="65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65"/>
      <c r="C717" s="11"/>
      <c r="D717" s="65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65"/>
      <c r="C718" s="11"/>
      <c r="D718" s="65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65"/>
      <c r="C719" s="11"/>
      <c r="D719" s="65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65"/>
      <c r="C720" s="11"/>
      <c r="D720" s="65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65"/>
      <c r="C721" s="11"/>
      <c r="D721" s="65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65"/>
      <c r="C722" s="11"/>
      <c r="D722" s="65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65"/>
      <c r="C723" s="11"/>
      <c r="D723" s="65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65"/>
      <c r="C724" s="11"/>
      <c r="D724" s="65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65"/>
      <c r="C725" s="11"/>
      <c r="D725" s="65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65"/>
      <c r="C726" s="11"/>
      <c r="D726" s="65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65"/>
      <c r="C727" s="11"/>
      <c r="D727" s="65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65"/>
      <c r="C728" s="11"/>
      <c r="D728" s="65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65"/>
      <c r="C729" s="11"/>
      <c r="D729" s="65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65"/>
      <c r="C730" s="11"/>
      <c r="D730" s="65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65"/>
      <c r="C731" s="11"/>
      <c r="D731" s="65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65"/>
      <c r="C732" s="11"/>
      <c r="D732" s="65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65"/>
      <c r="C733" s="11"/>
      <c r="D733" s="65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65"/>
      <c r="C734" s="11"/>
      <c r="D734" s="65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65"/>
      <c r="C735" s="11"/>
      <c r="D735" s="65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65"/>
      <c r="C736" s="11"/>
      <c r="D736" s="65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65"/>
      <c r="C737" s="11"/>
      <c r="D737" s="65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65"/>
      <c r="C738" s="11"/>
      <c r="D738" s="65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65"/>
      <c r="C739" s="11"/>
      <c r="D739" s="65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65"/>
      <c r="C740" s="11"/>
      <c r="D740" s="65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65"/>
      <c r="C741" s="11"/>
      <c r="D741" s="65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65"/>
      <c r="C742" s="11"/>
      <c r="D742" s="65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65"/>
      <c r="C743" s="11"/>
      <c r="D743" s="65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65"/>
      <c r="C744" s="11"/>
      <c r="D744" s="65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65"/>
      <c r="C745" s="11"/>
      <c r="D745" s="65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65"/>
      <c r="C746" s="11"/>
      <c r="D746" s="65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65"/>
      <c r="C747" s="11"/>
      <c r="D747" s="65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65"/>
      <c r="C748" s="11"/>
      <c r="D748" s="65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65"/>
      <c r="C749" s="11"/>
      <c r="D749" s="65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65"/>
      <c r="C750" s="11"/>
      <c r="D750" s="65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65"/>
      <c r="C751" s="11"/>
      <c r="D751" s="65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65"/>
      <c r="C752" s="11"/>
      <c r="D752" s="65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65"/>
      <c r="C753" s="11"/>
      <c r="D753" s="65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65"/>
      <c r="C754" s="11"/>
      <c r="D754" s="65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65"/>
      <c r="C755" s="11"/>
      <c r="D755" s="65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65"/>
      <c r="C756" s="11"/>
      <c r="D756" s="65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65"/>
      <c r="C757" s="11"/>
      <c r="D757" s="65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65"/>
      <c r="C758" s="11"/>
      <c r="D758" s="65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65"/>
      <c r="C759" s="11"/>
      <c r="D759" s="65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65"/>
      <c r="C760" s="11"/>
      <c r="D760" s="65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65"/>
      <c r="C761" s="11"/>
      <c r="D761" s="65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65"/>
      <c r="C762" s="11"/>
      <c r="D762" s="65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65"/>
      <c r="C763" s="11"/>
      <c r="D763" s="65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65"/>
      <c r="C764" s="11"/>
      <c r="D764" s="65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65"/>
      <c r="C765" s="11"/>
      <c r="D765" s="65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65"/>
      <c r="C766" s="11"/>
      <c r="D766" s="65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65"/>
      <c r="C767" s="11"/>
      <c r="D767" s="65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65"/>
      <c r="C768" s="11"/>
      <c r="D768" s="65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65"/>
      <c r="C769" s="11"/>
      <c r="D769" s="65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65"/>
      <c r="C770" s="11"/>
      <c r="D770" s="65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65"/>
      <c r="C771" s="11"/>
      <c r="D771" s="65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65"/>
      <c r="C772" s="11"/>
      <c r="D772" s="65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65"/>
      <c r="C773" s="11"/>
      <c r="D773" s="65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65"/>
      <c r="C774" s="11"/>
      <c r="D774" s="65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65"/>
      <c r="C775" s="11"/>
      <c r="D775" s="65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65"/>
      <c r="C776" s="11"/>
      <c r="D776" s="65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65"/>
      <c r="C777" s="11"/>
      <c r="D777" s="65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65"/>
      <c r="C778" s="11"/>
      <c r="D778" s="65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65"/>
      <c r="C779" s="11"/>
      <c r="D779" s="65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65"/>
      <c r="C780" s="11"/>
      <c r="D780" s="65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65"/>
      <c r="C781" s="11"/>
      <c r="D781" s="65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65"/>
      <c r="C782" s="11"/>
      <c r="D782" s="65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65"/>
      <c r="C783" s="11"/>
      <c r="D783" s="65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65"/>
      <c r="C784" s="11"/>
      <c r="D784" s="65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65"/>
      <c r="C785" s="11"/>
      <c r="D785" s="65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65"/>
      <c r="C786" s="11"/>
      <c r="D786" s="65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65"/>
      <c r="C787" s="11"/>
      <c r="D787" s="65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65"/>
      <c r="C788" s="11"/>
      <c r="D788" s="65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65"/>
      <c r="C789" s="11"/>
      <c r="D789" s="65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65"/>
      <c r="C790" s="11"/>
      <c r="D790" s="65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65"/>
      <c r="C791" s="11"/>
      <c r="D791" s="65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65"/>
      <c r="C792" s="11"/>
      <c r="D792" s="65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65"/>
      <c r="C793" s="11"/>
      <c r="D793" s="65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65"/>
      <c r="C794" s="11"/>
      <c r="D794" s="65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65"/>
      <c r="C795" s="11"/>
      <c r="D795" s="65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65"/>
      <c r="C796" s="11"/>
      <c r="D796" s="65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65"/>
      <c r="C797" s="11"/>
      <c r="D797" s="65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65"/>
      <c r="C798" s="11"/>
      <c r="D798" s="65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65"/>
      <c r="C799" s="11"/>
      <c r="D799" s="65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65"/>
      <c r="C800" s="11"/>
      <c r="D800" s="65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65"/>
      <c r="C801" s="11"/>
      <c r="D801" s="65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65"/>
      <c r="C802" s="11"/>
      <c r="D802" s="65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65"/>
      <c r="C803" s="11"/>
      <c r="D803" s="65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65"/>
      <c r="C804" s="11"/>
      <c r="D804" s="65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65"/>
      <c r="C805" s="11"/>
      <c r="D805" s="65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65"/>
      <c r="C806" s="11"/>
      <c r="D806" s="65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65"/>
      <c r="C807" s="11"/>
      <c r="D807" s="65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65"/>
      <c r="C808" s="11"/>
      <c r="D808" s="65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65"/>
      <c r="C809" s="11"/>
      <c r="D809" s="65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65"/>
      <c r="C810" s="11"/>
      <c r="D810" s="65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65"/>
      <c r="C811" s="11"/>
      <c r="D811" s="65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65"/>
      <c r="C812" s="11"/>
      <c r="D812" s="65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65"/>
      <c r="C813" s="11"/>
      <c r="D813" s="65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65"/>
      <c r="C814" s="11"/>
      <c r="D814" s="65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65"/>
      <c r="C815" s="11"/>
      <c r="D815" s="65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65"/>
      <c r="C816" s="11"/>
      <c r="D816" s="65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65"/>
      <c r="C817" s="11"/>
      <c r="D817" s="65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65"/>
      <c r="C818" s="11"/>
      <c r="D818" s="65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65"/>
      <c r="C819" s="11"/>
      <c r="D819" s="65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65"/>
      <c r="C820" s="11"/>
      <c r="D820" s="65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65"/>
      <c r="C821" s="11"/>
      <c r="D821" s="65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65"/>
      <c r="C822" s="11"/>
      <c r="D822" s="65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65"/>
      <c r="C823" s="11"/>
      <c r="D823" s="65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65"/>
      <c r="C824" s="11"/>
      <c r="D824" s="65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65"/>
      <c r="C825" s="11"/>
      <c r="D825" s="65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65"/>
      <c r="C826" s="11"/>
      <c r="D826" s="65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65"/>
      <c r="C827" s="11"/>
      <c r="D827" s="65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65"/>
      <c r="C828" s="11"/>
      <c r="D828" s="65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65"/>
      <c r="C829" s="11"/>
      <c r="D829" s="65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65"/>
      <c r="C830" s="11"/>
      <c r="D830" s="65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65"/>
      <c r="C831" s="11"/>
      <c r="D831" s="65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65"/>
      <c r="C832" s="11"/>
      <c r="D832" s="65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65"/>
      <c r="C833" s="11"/>
      <c r="D833" s="65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65"/>
      <c r="C834" s="11"/>
      <c r="D834" s="65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65"/>
      <c r="C835" s="11"/>
      <c r="D835" s="65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65"/>
      <c r="C836" s="11"/>
      <c r="D836" s="65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65"/>
      <c r="C837" s="11"/>
      <c r="D837" s="65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65"/>
      <c r="C838" s="11"/>
      <c r="D838" s="65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65"/>
      <c r="C839" s="11"/>
      <c r="D839" s="65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65"/>
      <c r="C840" s="11"/>
      <c r="D840" s="65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65"/>
      <c r="C841" s="11"/>
      <c r="D841" s="65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65"/>
      <c r="C842" s="11"/>
      <c r="D842" s="65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65"/>
      <c r="C843" s="11"/>
      <c r="D843" s="65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65"/>
      <c r="C844" s="11"/>
      <c r="D844" s="65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65"/>
      <c r="C845" s="11"/>
      <c r="D845" s="65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65"/>
      <c r="C846" s="11"/>
      <c r="D846" s="65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65"/>
      <c r="C847" s="11"/>
      <c r="D847" s="65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65"/>
      <c r="C848" s="11"/>
      <c r="D848" s="65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65"/>
      <c r="C849" s="11"/>
      <c r="D849" s="65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65"/>
      <c r="C850" s="11"/>
      <c r="D850" s="65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65"/>
      <c r="C851" s="11"/>
      <c r="D851" s="65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65"/>
      <c r="C852" s="11"/>
      <c r="D852" s="65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65"/>
      <c r="C853" s="11"/>
      <c r="D853" s="65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65"/>
      <c r="C854" s="11"/>
      <c r="D854" s="65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65"/>
      <c r="C855" s="11"/>
      <c r="D855" s="65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65"/>
      <c r="C856" s="11"/>
      <c r="D856" s="65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65"/>
      <c r="C857" s="11"/>
      <c r="D857" s="65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65"/>
      <c r="C858" s="11"/>
      <c r="D858" s="65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65"/>
      <c r="C859" s="11"/>
      <c r="D859" s="65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65"/>
      <c r="C860" s="11"/>
      <c r="D860" s="65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65"/>
      <c r="C861" s="11"/>
      <c r="D861" s="65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65"/>
      <c r="C862" s="11"/>
      <c r="D862" s="65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65"/>
      <c r="C863" s="11"/>
      <c r="D863" s="65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65"/>
      <c r="C864" s="11"/>
      <c r="D864" s="65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65"/>
      <c r="C865" s="11"/>
      <c r="D865" s="65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65"/>
      <c r="C866" s="11"/>
      <c r="D866" s="65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65"/>
      <c r="C867" s="11"/>
      <c r="D867" s="65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65"/>
      <c r="C868" s="11"/>
      <c r="D868" s="65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65"/>
      <c r="C869" s="11"/>
      <c r="D869" s="65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65"/>
      <c r="C870" s="11"/>
      <c r="D870" s="65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65"/>
      <c r="C871" s="11"/>
      <c r="D871" s="65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65"/>
      <c r="C872" s="11"/>
      <c r="D872" s="65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65"/>
      <c r="C873" s="11"/>
      <c r="D873" s="65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65"/>
      <c r="C874" s="11"/>
      <c r="D874" s="65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65"/>
      <c r="C875" s="11"/>
      <c r="D875" s="65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65"/>
      <c r="C876" s="11"/>
      <c r="D876" s="65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65"/>
      <c r="C877" s="11"/>
      <c r="D877" s="65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65"/>
      <c r="C878" s="11"/>
      <c r="D878" s="65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65"/>
      <c r="C879" s="11"/>
      <c r="D879" s="65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65"/>
      <c r="C880" s="11"/>
      <c r="D880" s="65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65"/>
      <c r="C881" s="11"/>
      <c r="D881" s="65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65"/>
      <c r="C882" s="11"/>
      <c r="D882" s="65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65"/>
      <c r="C883" s="11"/>
      <c r="D883" s="65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65"/>
      <c r="C884" s="11"/>
      <c r="D884" s="65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65"/>
      <c r="C885" s="11"/>
      <c r="D885" s="65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65"/>
      <c r="C886" s="11"/>
      <c r="D886" s="65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65"/>
      <c r="C887" s="11"/>
      <c r="D887" s="65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65"/>
      <c r="C888" s="11"/>
      <c r="D888" s="65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65"/>
      <c r="C889" s="11"/>
      <c r="D889" s="65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65"/>
      <c r="C890" s="11"/>
      <c r="D890" s="65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65"/>
      <c r="C891" s="11"/>
      <c r="D891" s="65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65"/>
      <c r="C892" s="11"/>
      <c r="D892" s="65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65"/>
      <c r="C893" s="11"/>
      <c r="D893" s="65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65"/>
      <c r="C894" s="11"/>
      <c r="D894" s="65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65"/>
      <c r="C895" s="11"/>
      <c r="D895" s="65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65"/>
      <c r="C896" s="11"/>
      <c r="D896" s="65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65"/>
      <c r="C897" s="11"/>
      <c r="D897" s="65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65"/>
      <c r="C898" s="11"/>
      <c r="D898" s="65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65"/>
      <c r="C899" s="11"/>
      <c r="D899" s="65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65"/>
      <c r="C900" s="11"/>
      <c r="D900" s="65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65"/>
      <c r="C901" s="11"/>
      <c r="D901" s="65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65"/>
      <c r="C902" s="11"/>
      <c r="D902" s="65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65"/>
      <c r="C903" s="11"/>
      <c r="D903" s="65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65"/>
      <c r="C904" s="11"/>
      <c r="D904" s="65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65"/>
      <c r="C905" s="11"/>
      <c r="D905" s="65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65"/>
      <c r="C906" s="11"/>
      <c r="D906" s="65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65"/>
      <c r="C907" s="11"/>
      <c r="D907" s="65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65"/>
      <c r="C908" s="11"/>
      <c r="D908" s="65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65"/>
      <c r="C909" s="11"/>
      <c r="D909" s="65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65"/>
      <c r="C910" s="11"/>
      <c r="D910" s="65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65"/>
      <c r="C911" s="11"/>
      <c r="D911" s="65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65"/>
      <c r="C912" s="11"/>
      <c r="D912" s="65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65"/>
      <c r="C913" s="11"/>
      <c r="D913" s="65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65"/>
      <c r="C914" s="11"/>
      <c r="D914" s="65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65"/>
      <c r="C915" s="11"/>
      <c r="D915" s="65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65"/>
      <c r="C916" s="11"/>
      <c r="D916" s="65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65"/>
      <c r="C917" s="11"/>
      <c r="D917" s="65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65"/>
      <c r="C918" s="11"/>
      <c r="D918" s="65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65"/>
      <c r="C919" s="11"/>
      <c r="D919" s="65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65"/>
      <c r="C920" s="11"/>
      <c r="D920" s="65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65"/>
      <c r="C921" s="11"/>
      <c r="D921" s="65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65"/>
      <c r="C922" s="11"/>
      <c r="D922" s="65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65"/>
      <c r="C923" s="11"/>
      <c r="D923" s="65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65"/>
      <c r="C924" s="11"/>
      <c r="D924" s="65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65"/>
      <c r="C925" s="11"/>
      <c r="D925" s="65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65"/>
      <c r="C926" s="11"/>
      <c r="D926" s="65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65"/>
      <c r="C927" s="11"/>
      <c r="D927" s="65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65"/>
      <c r="C928" s="11"/>
      <c r="D928" s="65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65"/>
      <c r="C929" s="11"/>
      <c r="D929" s="65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65"/>
      <c r="C930" s="11"/>
      <c r="D930" s="65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65"/>
      <c r="C931" s="11"/>
      <c r="D931" s="65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65"/>
      <c r="C932" s="11"/>
      <c r="D932" s="65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65"/>
      <c r="C933" s="11"/>
      <c r="D933" s="65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65"/>
      <c r="C934" s="11"/>
      <c r="D934" s="65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65"/>
      <c r="C935" s="11"/>
      <c r="D935" s="65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65"/>
      <c r="C936" s="11"/>
      <c r="D936" s="65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65"/>
      <c r="C937" s="11"/>
      <c r="D937" s="65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65"/>
      <c r="C938" s="11"/>
      <c r="D938" s="65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65"/>
      <c r="C939" s="11"/>
      <c r="D939" s="65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65"/>
      <c r="C940" s="11"/>
      <c r="D940" s="65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65"/>
      <c r="C941" s="11"/>
      <c r="D941" s="65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65"/>
      <c r="C942" s="11"/>
      <c r="D942" s="65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65"/>
      <c r="C943" s="11"/>
      <c r="D943" s="65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65"/>
      <c r="C944" s="11"/>
      <c r="D944" s="65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65"/>
      <c r="C945" s="11"/>
      <c r="D945" s="65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65"/>
      <c r="C946" s="11"/>
      <c r="D946" s="65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65"/>
      <c r="C947" s="11"/>
      <c r="D947" s="65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65"/>
      <c r="C948" s="11"/>
      <c r="D948" s="65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65"/>
      <c r="C949" s="11"/>
      <c r="D949" s="65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65"/>
      <c r="C950" s="11"/>
      <c r="D950" s="65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65"/>
      <c r="C951" s="11"/>
      <c r="D951" s="65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65"/>
      <c r="C952" s="11"/>
      <c r="D952" s="65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65"/>
      <c r="C953" s="11"/>
      <c r="D953" s="65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65"/>
      <c r="C954" s="11"/>
      <c r="D954" s="65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65"/>
      <c r="C955" s="11"/>
      <c r="D955" s="65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65"/>
      <c r="C956" s="11"/>
      <c r="D956" s="65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65"/>
      <c r="C957" s="11"/>
      <c r="D957" s="65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65"/>
      <c r="C958" s="11"/>
      <c r="D958" s="65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65"/>
      <c r="C959" s="11"/>
      <c r="D959" s="65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65"/>
      <c r="C960" s="11"/>
      <c r="D960" s="65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65"/>
      <c r="C961" s="11"/>
      <c r="D961" s="65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65"/>
      <c r="C962" s="11"/>
      <c r="D962" s="65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65"/>
      <c r="C963" s="11"/>
      <c r="D963" s="65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65"/>
      <c r="C964" s="11"/>
      <c r="D964" s="65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65"/>
      <c r="C965" s="11"/>
      <c r="D965" s="65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65"/>
      <c r="C966" s="11"/>
      <c r="D966" s="65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65"/>
      <c r="C967" s="11"/>
      <c r="D967" s="65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65"/>
      <c r="C968" s="11"/>
      <c r="D968" s="65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65"/>
      <c r="C969" s="11"/>
      <c r="D969" s="65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65"/>
      <c r="C970" s="11"/>
      <c r="D970" s="65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65"/>
      <c r="C971" s="11"/>
      <c r="D971" s="65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65"/>
      <c r="C972" s="11"/>
      <c r="D972" s="65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65"/>
      <c r="C973" s="11"/>
      <c r="D973" s="65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65"/>
      <c r="C974" s="11"/>
      <c r="D974" s="65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65"/>
      <c r="C975" s="11"/>
      <c r="D975" s="65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65"/>
      <c r="C976" s="11"/>
      <c r="D976" s="65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65"/>
      <c r="C977" s="11"/>
      <c r="D977" s="65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65"/>
      <c r="C978" s="11"/>
      <c r="D978" s="65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65"/>
      <c r="C979" s="11"/>
      <c r="D979" s="65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65"/>
      <c r="C980" s="11"/>
      <c r="D980" s="65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65"/>
      <c r="C981" s="11"/>
      <c r="D981" s="65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65"/>
      <c r="C982" s="11"/>
      <c r="D982" s="65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65"/>
      <c r="C983" s="11"/>
      <c r="D983" s="65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65"/>
      <c r="C984" s="11"/>
      <c r="D984" s="65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65"/>
      <c r="C985" s="11"/>
      <c r="D985" s="65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65"/>
      <c r="C986" s="11"/>
      <c r="D986" s="65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65"/>
      <c r="C987" s="11"/>
      <c r="D987" s="65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65"/>
      <c r="C988" s="11"/>
      <c r="D988" s="65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65"/>
      <c r="C989" s="11"/>
      <c r="D989" s="65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65"/>
      <c r="C990" s="11"/>
      <c r="D990" s="65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65"/>
      <c r="C991" s="11"/>
      <c r="D991" s="65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65"/>
      <c r="C992" s="11"/>
      <c r="D992" s="65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65"/>
      <c r="C993" s="11"/>
      <c r="D993" s="65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65"/>
      <c r="C994" s="11"/>
      <c r="D994" s="65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65"/>
      <c r="C995" s="11"/>
      <c r="D995" s="65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65"/>
      <c r="C996" s="11"/>
      <c r="D996" s="65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65"/>
      <c r="C997" s="11"/>
      <c r="D997" s="65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65"/>
      <c r="C998" s="11"/>
      <c r="D998" s="65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65"/>
      <c r="C999" s="11"/>
      <c r="D999" s="65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65"/>
      <c r="C1000" s="11"/>
      <c r="D1000" s="65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