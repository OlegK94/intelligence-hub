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Jahres-Cashflow Privat" sheetId="2" state="visible" r:id="rId2"/>
    <sheet xmlns:r="http://schemas.openxmlformats.org/officeDocument/2006/relationships" name="Einnahmen-Detail" sheetId="3" state="visible" r:id="rId3"/>
    <sheet xmlns:r="http://schemas.openxmlformats.org/officeDocument/2006/relationships" name="Wagglz GmbH P&amp;L" sheetId="4" state="visible" r:id="rId4"/>
    <sheet xmlns:r="http://schemas.openxmlformats.org/officeDocument/2006/relationships" name="Ausgaben-Analyse Privat" sheetId="5" state="visible" r:id="rId5"/>
    <sheet xmlns:r="http://schemas.openxmlformats.org/officeDocument/2006/relationships" name="Gesellschafterdarlehnen" sheetId="6" state="visible" r:id="rId6"/>
    <sheet xmlns:r="http://schemas.openxmlformats.org/officeDocument/2006/relationships" name="Splitwise" sheetId="7" state="visible" r:id="rId7"/>
    <sheet xmlns:r="http://schemas.openxmlformats.org/officeDocument/2006/relationships" name="Sparplan" sheetId="8" state="visible" r:id="rId8"/>
    <sheet xmlns:r="http://schemas.openxmlformats.org/officeDocument/2006/relationships" name="Steuerbescheide Privat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;\(#,##0\);\-"/>
    <numFmt numFmtId="165" formatCode="#,##0.00&quot; €&quot;"/>
    <numFmt numFmtId="166" formatCode="0.0%"/>
    <numFmt numFmtId="167" formatCode="#,##0&quot; €&quot;"/>
    <numFmt numFmtId="168" formatCode="#,##0 €"/>
    <numFmt numFmtId="169" formatCode="#,##0.00 €"/>
    <numFmt numFmtId="170" formatCode="#,##0 &quot;EUR&quot;"/>
  </numFmts>
  <fonts count="7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FF66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00B050"/>
      <sz val="10"/>
    </font>
    <font>
      <name val="Arial"/>
      <charset val="1"/>
      <family val="0"/>
      <color rgb="FF666666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color rgb="FF999999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555555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856404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color rgb="FF2E75B6"/>
      <sz val="10"/>
    </font>
    <font>
      <name val="Arial"/>
      <charset val="1"/>
      <family val="0"/>
      <color rgb="FFFF0000"/>
      <sz val="10"/>
    </font>
    <font>
      <name val="Arial"/>
      <charset val="1"/>
      <family val="0"/>
      <color rgb="FF856404"/>
      <sz val="9"/>
    </font>
    <font>
      <name val="Arial"/>
      <charset val="1"/>
      <family val="0"/>
      <color rgb="FF00B05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9"/>
      <sz val="11"/>
    </font>
    <font>
      <name val="Arial"/>
      <charset val="1"/>
      <family val="0"/>
      <color rgb="FF1F4E79"/>
      <sz val="10"/>
    </font>
    <font>
      <name val="Arial"/>
      <charset val="1"/>
      <family val="0"/>
      <color rgb="FF008000"/>
      <sz val="10"/>
    </font>
    <font>
      <b val="1"/>
      <color rgb="001F3864"/>
      <sz val="13"/>
    </font>
    <font>
      <i val="1"/>
      <color rgb="00888888"/>
      <sz val="9"/>
    </font>
    <font>
      <b val="1"/>
      <color rgb="00FFFFFF"/>
      <sz val="10"/>
    </font>
    <font>
      <sz val="10"/>
    </font>
    <font>
      <color rgb="00666666"/>
      <sz val="9"/>
    </font>
    <font>
      <b val="1"/>
      <sz val="10"/>
    </font>
    <font>
      <b val="1"/>
      <color rgb="00C00000"/>
      <sz val="11"/>
    </font>
    <font>
      <b val="1"/>
      <color rgb="008B4513"/>
      <sz val="10"/>
    </font>
    <font>
      <sz val="9"/>
    </font>
    <font>
      <b val="1"/>
      <color rgb="00C00000"/>
      <sz val="10"/>
    </font>
    <font>
      <color rgb="008B4513"/>
      <sz val="10"/>
    </font>
    <font>
      <b val="1"/>
      <color rgb="001E5631"/>
      <sz val="10"/>
    </font>
    <font>
      <b val="1"/>
      <color rgb="001F3864"/>
      <sz val="11"/>
    </font>
    <font>
      <b val="1"/>
      <color rgb="00E8EDF2"/>
      <sz val="14"/>
    </font>
    <font>
      <color rgb="004A5563"/>
    </font>
    <font>
      <b val="1"/>
      <color rgb="0006AED4"/>
    </font>
    <font>
      <b val="1"/>
      <color rgb="002E90FA"/>
    </font>
    <font>
      <color rgb="00B8C4CF"/>
    </font>
    <font>
      <name val="Courier New"/>
      <color rgb="0012B76A"/>
    </font>
    <font>
      <b val="1"/>
      <color rgb="0012B76A"/>
    </font>
    <font>
      <name val="Courier New"/>
      <color rgb="00F04438"/>
    </font>
    <font>
      <b val="1"/>
      <color rgb="00F04438"/>
    </font>
    <font>
      <name val="Courier New"/>
      <color rgb="00B8C4CF"/>
    </font>
    <font>
      <b val="1"/>
      <color rgb="00F79009"/>
    </font>
    <font>
      <b val="1"/>
      <color rgb="00E8EDF2"/>
      <sz val="12"/>
    </font>
    <font>
      <name val="Courier New"/>
      <color rgb="00F79009"/>
    </font>
    <font>
      <name val="Calibri"/>
      <b val="1"/>
      <color rgb="00FFFFFF"/>
      <sz val="14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color rgb="001C2833"/>
      <sz val="10"/>
    </font>
    <font>
      <name val="Calibri"/>
      <b val="1"/>
      <color rgb="001C2833"/>
      <sz val="10"/>
    </font>
    <font>
      <name val="Calibri"/>
      <color rgb="007F8C8D"/>
      <sz val="10"/>
    </font>
    <font>
      <name val="Calibri"/>
      <color rgb="007F8C8D"/>
      <sz val="9"/>
    </font>
    <font>
      <name val="Calibri"/>
      <b val="1"/>
      <color rgb="00C0392B"/>
      <sz val="10"/>
    </font>
    <font>
      <name val="Calibri"/>
      <color rgb="00444444"/>
      <sz val="10"/>
    </font>
    <font>
      <name val="Calibri"/>
      <color rgb="00784212"/>
      <sz val="10"/>
    </font>
    <font>
      <name val="Calibri"/>
      <color rgb="00922B21"/>
      <sz val="10"/>
    </font>
    <font>
      <name val="Calibri"/>
      <b val="1"/>
      <color rgb="001A5276"/>
      <sz val="10"/>
    </font>
  </fonts>
  <fills count="44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F5E9"/>
      </patternFill>
    </fill>
    <fill>
      <patternFill patternType="solid">
        <fgColor rgb="FFFFF2CC"/>
        <bgColor rgb="FFFFF9C4"/>
      </patternFill>
    </fill>
    <fill>
      <patternFill patternType="solid">
        <fgColor rgb="FFFFE0E0"/>
        <bgColor rgb="FFFFF2CC"/>
      </patternFill>
    </fill>
    <fill>
      <patternFill patternType="solid">
        <fgColor rgb="FFFFF9C4"/>
        <bgColor rgb="FFFFF2CC"/>
      </patternFill>
    </fill>
    <fill>
      <patternFill patternType="solid">
        <fgColor rgb="FFE8F5E9"/>
        <bgColor rgb="FFF2F2F2"/>
      </patternFill>
    </fill>
    <fill>
      <patternFill patternType="solid">
        <fgColor rgb="FFD6E4F0"/>
        <bgColor rgb="FFD9E1F2"/>
      </patternFill>
    </fill>
    <fill>
      <patternFill patternType="solid">
        <fgColor rgb="FFFF4444"/>
        <bgColor rgb="FFFF6600"/>
      </patternFill>
    </fill>
    <fill>
      <patternFill patternType="solid">
        <fgColor rgb="FF1F4E79"/>
        <bgColor rgb="FF305496"/>
      </patternFill>
    </fill>
    <fill>
      <patternFill patternType="solid">
        <fgColor rgb="FF305496"/>
        <bgColor rgb="FF1F4E79"/>
      </patternFill>
    </fill>
    <fill>
      <patternFill patternType="solid">
        <fgColor rgb="FFE2EFDA"/>
        <bgColor rgb="FFE8F5E9"/>
      </patternFill>
    </fill>
    <fill>
      <patternFill patternType="solid">
        <fgColor rgb="FFFF0000"/>
        <bgColor rgb="FFFF4444"/>
      </patternFill>
    </fill>
    <fill>
      <patternFill patternType="solid">
        <fgColor rgb="FFD9E1F2"/>
        <bgColor rgb="FFD6E4F0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0E0E0"/>
      </patternFill>
    </fill>
    <fill>
      <patternFill patternType="solid">
        <fgColor rgb="00FFCCCC"/>
      </patternFill>
    </fill>
    <fill>
      <patternFill patternType="solid">
        <fgColor rgb="001E5631"/>
      </patternFill>
    </fill>
    <fill>
      <patternFill patternType="solid">
        <fgColor rgb="00D5E8D4"/>
      </patternFill>
    </fill>
    <fill>
      <patternFill patternType="solid">
        <fgColor rgb="00FFE0B2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0F1923"/>
      </patternFill>
    </fill>
    <fill>
      <patternFill patternType="solid">
        <fgColor rgb="000B1117"/>
      </patternFill>
    </fill>
    <fill>
      <patternFill patternType="solid">
        <fgColor rgb="000A3D1F"/>
      </patternFill>
    </fill>
    <fill>
      <patternFill patternType="solid">
        <fgColor rgb="003D0A0A"/>
      </patternFill>
    </fill>
    <fill>
      <patternFill patternType="solid">
        <fgColor rgb="003D2A00"/>
      </patternFill>
    </fill>
    <fill>
      <patternFill patternType="solid">
        <fgColor rgb="000A1E3D"/>
      </patternFill>
    </fill>
    <fill>
      <patternFill patternType="solid">
        <fgColor rgb="001A5276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8F9FA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D6EAF8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001E2328"/>
      </left>
      <right style="thin">
        <color rgb="001E2328"/>
      </right>
      <top style="thin">
        <color rgb="001E2328"/>
      </top>
      <bottom style="thin">
        <color rgb="001E2328"/>
      </bottom>
    </border>
    <border>
      <left/>
      <right/>
      <top style="thin">
        <color rgb="001E2328"/>
      </top>
      <bottom/>
      <diagonal/>
    </border>
    <border>
      <left/>
      <right style="thin">
        <color rgb="001E2328"/>
      </right>
      <top style="thin">
        <color rgb="001E2328"/>
      </top>
      <bottom/>
      <diagonal/>
    </border>
    <border>
      <left/>
      <right/>
      <top style="thin">
        <color rgb="001E2328"/>
      </top>
      <bottom style="thin">
        <color rgb="001E2328"/>
      </bottom>
      <diagonal/>
    </border>
    <border>
      <left/>
      <right style="thin">
        <color rgb="001E2328"/>
      </right>
      <top style="thin">
        <color rgb="001E2328"/>
      </top>
      <bottom style="thin">
        <color rgb="001E2328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164" fontId="13" fillId="5" borderId="1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right" vertical="center"/>
    </xf>
    <xf numFmtId="164" fontId="13" fillId="10" borderId="1" applyAlignment="1" pivotButton="0" quotePrefix="0" xfId="0">
      <alignment horizontal="right" vertical="center"/>
    </xf>
    <xf numFmtId="0" fontId="14" fillId="1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8" fillId="5" borderId="0" applyAlignment="1" pivotButton="0" quotePrefix="0" xfId="0">
      <alignment horizontal="right" vertical="center"/>
    </xf>
    <xf numFmtId="0" fontId="18" fillId="5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horizontal="right" vertical="bottom"/>
    </xf>
    <xf numFmtId="0" fontId="20" fillId="5" borderId="0" applyAlignment="1" pivotButton="0" quotePrefix="0" xfId="0">
      <alignment horizontal="left" vertical="center"/>
    </xf>
    <xf numFmtId="0" fontId="20" fillId="4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general" vertical="bottom"/>
    </xf>
    <xf numFmtId="0" fontId="6" fillId="1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7" fillId="14" borderId="0" applyAlignment="1" pivotButton="0" quotePrefix="0" xfId="0">
      <alignment horizontal="general" vertical="bottom"/>
    </xf>
    <xf numFmtId="0" fontId="6" fillId="1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14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general" vertical="bottom"/>
    </xf>
    <xf numFmtId="0" fontId="7" fillId="1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0" fillId="4" borderId="0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right" vertical="center"/>
    </xf>
    <xf numFmtId="0" fontId="20" fillId="10" borderId="1" applyAlignment="1" pivotButton="0" quotePrefix="0" xfId="0">
      <alignment horizontal="left" vertical="center" wrapText="1"/>
    </xf>
    <xf numFmtId="0" fontId="5" fillId="15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2" fillId="7" borderId="0" applyAlignment="1" pivotButton="0" quotePrefix="0" xfId="0">
      <alignment horizontal="left" vertical="center" wrapText="1"/>
    </xf>
    <xf numFmtId="0" fontId="23" fillId="8" borderId="0" applyAlignment="1" pivotButton="0" quotePrefix="0" xfId="0">
      <alignment horizontal="left" vertical="center"/>
    </xf>
    <xf numFmtId="0" fontId="23" fillId="8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24" fillId="8" borderId="0" applyAlignment="1" pivotButton="0" quotePrefix="0" xfId="0">
      <alignment horizontal="center" vertical="center"/>
    </xf>
    <xf numFmtId="0" fontId="25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left" vertical="center" wrapText="1"/>
    </xf>
    <xf numFmtId="0" fontId="22" fillId="5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23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left" vertical="center"/>
    </xf>
    <xf numFmtId="0" fontId="26" fillId="4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left" vertical="center"/>
    </xf>
    <xf numFmtId="0" fontId="26" fillId="5" borderId="0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28" fillId="9" borderId="0" applyAlignment="1" pivotButton="0" quotePrefix="0" xfId="0">
      <alignment horizontal="left" vertical="center"/>
    </xf>
    <xf numFmtId="0" fontId="2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general" vertical="bottom"/>
    </xf>
    <xf numFmtId="0" fontId="6" fillId="13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19" fillId="14" borderId="0" applyAlignment="1" pivotButton="0" quotePrefix="0" xfId="0">
      <alignment horizontal="general" vertical="bottom"/>
    </xf>
    <xf numFmtId="165" fontId="19" fillId="14" borderId="0" applyAlignment="1" pivotButton="0" quotePrefix="0" xfId="0">
      <alignment horizontal="general" vertical="bottom"/>
    </xf>
    <xf numFmtId="166" fontId="29" fillId="0" borderId="0" applyAlignment="1" pivotButton="0" quotePrefix="0" xfId="0">
      <alignment horizontal="general" vertical="bottom"/>
    </xf>
    <xf numFmtId="0" fontId="19" fillId="16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0" fontId="19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general" vertical="bottom"/>
    </xf>
    <xf numFmtId="165" fontId="9" fillId="14" borderId="0" applyAlignment="1" pivotButton="0" quotePrefix="0" xfId="0">
      <alignment horizontal="general" vertical="bottom"/>
    </xf>
    <xf numFmtId="166" fontId="19" fillId="1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0" fillId="1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7" fontId="21" fillId="0" borderId="0" applyAlignment="1" pivotButton="0" quotePrefix="0" xfId="0">
      <alignment horizontal="general" vertical="bottom"/>
    </xf>
    <xf numFmtId="167" fontId="26" fillId="0" borderId="0" applyAlignment="1" pivotButton="0" quotePrefix="0" xfId="0">
      <alignment horizontal="general" vertical="bottom"/>
    </xf>
    <xf numFmtId="167" fontId="32" fillId="0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164" fontId="13" fillId="5" borderId="1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right" vertical="center"/>
    </xf>
    <xf numFmtId="164" fontId="13" fillId="10" borderId="1" applyAlignment="1" pivotButton="0" quotePrefix="0" xfId="0">
      <alignment horizontal="right" vertical="center"/>
    </xf>
    <xf numFmtId="0" fontId="14" fillId="1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right" vertical="center"/>
    </xf>
    <xf numFmtId="0" fontId="18" fillId="5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horizontal="right" vertical="bottom"/>
    </xf>
    <xf numFmtId="0" fontId="20" fillId="5" borderId="0" applyAlignment="1" pivotButton="0" quotePrefix="0" xfId="0">
      <alignment horizontal="left" vertical="center"/>
    </xf>
    <xf numFmtId="0" fontId="20" fillId="4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general" vertical="bottom"/>
    </xf>
    <xf numFmtId="0" fontId="6" fillId="1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7" fillId="14" borderId="0" applyAlignment="1" pivotButton="0" quotePrefix="0" xfId="0">
      <alignment horizontal="general" vertical="bottom"/>
    </xf>
    <xf numFmtId="0" fontId="6" fillId="1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14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general" vertical="bottom"/>
    </xf>
    <xf numFmtId="0" fontId="7" fillId="1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33" fillId="0" borderId="0" pivotButton="0" quotePrefix="0" xfId="0"/>
    <xf numFmtId="0" fontId="34" fillId="0" borderId="0" pivotButton="0" quotePrefix="0" xfId="0"/>
    <xf numFmtId="0" fontId="35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center" vertical="center"/>
    </xf>
    <xf numFmtId="0" fontId="35" fillId="18" borderId="0" applyAlignment="1" pivotButton="0" quotePrefix="0" xfId="0">
      <alignment horizontal="left" vertical="center" wrapText="1"/>
    </xf>
    <xf numFmtId="0" fontId="35" fillId="18" borderId="0" applyAlignment="1" pivotButton="0" quotePrefix="0" xfId="0">
      <alignment horizontal="center" vertical="center"/>
    </xf>
    <xf numFmtId="0" fontId="36" fillId="19" borderId="0" applyAlignment="1" pivotButton="0" quotePrefix="0" xfId="0">
      <alignment horizontal="left" vertical="center" wrapText="1"/>
    </xf>
    <xf numFmtId="168" fontId="36" fillId="0" borderId="0" applyAlignment="1" pivotButton="0" quotePrefix="0" xfId="0">
      <alignment horizontal="right" vertical="center"/>
    </xf>
    <xf numFmtId="0" fontId="37" fillId="0" borderId="0" applyAlignment="1" pivotButton="0" quotePrefix="0" xfId="0">
      <alignment horizontal="left" vertical="center" wrapText="1"/>
    </xf>
    <xf numFmtId="0" fontId="38" fillId="20" borderId="0" applyAlignment="1" pivotButton="0" quotePrefix="0" xfId="0">
      <alignment horizontal="left" vertical="center" wrapText="1"/>
    </xf>
    <xf numFmtId="168" fontId="38" fillId="20" borderId="0" applyAlignment="1" pivotButton="0" quotePrefix="0" xfId="0">
      <alignment horizontal="right" vertical="center"/>
    </xf>
    <xf numFmtId="0" fontId="36" fillId="0" borderId="0" applyAlignment="1" pivotButton="0" quotePrefix="0" xfId="0">
      <alignment horizontal="left" vertical="center" wrapText="1"/>
    </xf>
    <xf numFmtId="0" fontId="39" fillId="21" borderId="0" applyAlignment="1" pivotButton="0" quotePrefix="0" xfId="0">
      <alignment horizontal="left" vertical="center" wrapText="1"/>
    </xf>
    <xf numFmtId="168" fontId="39" fillId="21" borderId="0" applyAlignment="1" pivotButton="0" quotePrefix="0" xfId="0">
      <alignment horizontal="right" vertical="center"/>
    </xf>
    <xf numFmtId="168" fontId="39" fillId="21" borderId="0" applyAlignment="1" pivotButton="0" quotePrefix="0" xfId="0">
      <alignment horizontal="center" vertical="center"/>
    </xf>
    <xf numFmtId="0" fontId="37" fillId="21" borderId="0" applyAlignment="1" pivotButton="0" quotePrefix="0" xfId="0">
      <alignment horizontal="left" vertical="center" wrapText="1"/>
    </xf>
    <xf numFmtId="0" fontId="35" fillId="22" borderId="0" applyAlignment="1" pivotButton="0" quotePrefix="0" xfId="0">
      <alignment horizontal="left" vertical="center" wrapText="1"/>
    </xf>
    <xf numFmtId="0" fontId="35" fillId="22" borderId="0" applyAlignment="1" pivotButton="0" quotePrefix="0" xfId="0">
      <alignment horizontal="center" vertical="center"/>
    </xf>
    <xf numFmtId="0" fontId="36" fillId="23" borderId="0" applyAlignment="1" pivotButton="0" quotePrefix="0" xfId="0">
      <alignment horizontal="left" vertical="center" wrapText="1"/>
    </xf>
    <xf numFmtId="169" fontId="36" fillId="23" borderId="0" applyAlignment="1" pivotButton="0" quotePrefix="0" xfId="0">
      <alignment horizontal="right" vertical="center"/>
    </xf>
    <xf numFmtId="0" fontId="36" fillId="0" borderId="0" applyAlignment="1" pivotButton="0" quotePrefix="0" xfId="0">
      <alignment horizontal="center" vertical="center"/>
    </xf>
    <xf numFmtId="0" fontId="36" fillId="21" borderId="0" applyAlignment="1" pivotButton="0" quotePrefix="0" xfId="0">
      <alignment horizontal="left" vertical="center" wrapText="1"/>
    </xf>
    <xf numFmtId="169" fontId="36" fillId="21" borderId="0" applyAlignment="1" pivotButton="0" quotePrefix="0" xfId="0">
      <alignment horizontal="right" vertical="center"/>
    </xf>
    <xf numFmtId="0" fontId="40" fillId="24" borderId="0" applyAlignment="1" pivotButton="0" quotePrefix="0" xfId="0">
      <alignment horizontal="left" vertical="center" wrapText="1"/>
    </xf>
    <xf numFmtId="0" fontId="40" fillId="24" borderId="0" applyAlignment="1" pivotButton="0" quotePrefix="0" xfId="0">
      <alignment horizontal="center" vertical="center"/>
    </xf>
    <xf numFmtId="0" fontId="36" fillId="25" borderId="0" applyAlignment="1" pivotButton="0" quotePrefix="0" xfId="0">
      <alignment horizontal="left" vertical="center" wrapText="1"/>
    </xf>
    <xf numFmtId="169" fontId="36" fillId="0" borderId="0" applyAlignment="1" pivotButton="0" quotePrefix="0" xfId="0">
      <alignment horizontal="right" vertical="center"/>
    </xf>
    <xf numFmtId="0" fontId="36" fillId="26" borderId="0" applyAlignment="1" pivotButton="0" quotePrefix="0" xfId="0">
      <alignment horizontal="left" vertical="center" wrapText="1"/>
    </xf>
    <xf numFmtId="168" fontId="36" fillId="26" borderId="0" applyAlignment="1" pivotButton="0" quotePrefix="0" xfId="0">
      <alignment horizontal="right" vertical="center"/>
    </xf>
    <xf numFmtId="0" fontId="37" fillId="26" borderId="0" applyAlignment="1" pivotButton="0" quotePrefix="0" xfId="0">
      <alignment horizontal="left" vertical="center" wrapText="1"/>
    </xf>
    <xf numFmtId="168" fontId="36" fillId="26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right" vertical="center"/>
    </xf>
    <xf numFmtId="0" fontId="20" fillId="10" borderId="1" applyAlignment="1" pivotButton="0" quotePrefix="0" xfId="0">
      <alignment horizontal="left" vertical="center" wrapText="1"/>
    </xf>
    <xf numFmtId="0" fontId="5" fillId="15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2" fillId="7" borderId="0" applyAlignment="1" pivotButton="0" quotePrefix="0" xfId="0">
      <alignment horizontal="left" vertical="center" wrapText="1"/>
    </xf>
    <xf numFmtId="0" fontId="23" fillId="8" borderId="0" applyAlignment="1" pivotButton="0" quotePrefix="0" xfId="0">
      <alignment horizontal="left" vertical="center"/>
    </xf>
    <xf numFmtId="0" fontId="23" fillId="8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left" vertical="center" wrapText="1"/>
    </xf>
    <xf numFmtId="0" fontId="24" fillId="8" borderId="0" applyAlignment="1" pivotButton="0" quotePrefix="0" xfId="0">
      <alignment horizontal="center" vertical="center"/>
    </xf>
    <xf numFmtId="0" fontId="25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left" vertical="center" wrapText="1"/>
    </xf>
    <xf numFmtId="0" fontId="22" fillId="5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23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left" vertical="center"/>
    </xf>
    <xf numFmtId="0" fontId="26" fillId="4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left" vertical="center"/>
    </xf>
    <xf numFmtId="0" fontId="26" fillId="5" borderId="0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28" fillId="9" borderId="0" applyAlignment="1" pivotButton="0" quotePrefix="0" xfId="0">
      <alignment horizontal="left" vertical="center"/>
    </xf>
    <xf numFmtId="0" fontId="2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19" fillId="14" borderId="0" applyAlignment="1" pivotButton="0" quotePrefix="0" xfId="0">
      <alignment horizontal="general" vertical="bottom"/>
    </xf>
    <xf numFmtId="165" fontId="19" fillId="14" borderId="0" applyAlignment="1" pivotButton="0" quotePrefix="0" xfId="0">
      <alignment horizontal="general" vertical="bottom"/>
    </xf>
    <xf numFmtId="166" fontId="29" fillId="0" borderId="0" applyAlignment="1" pivotButton="0" quotePrefix="0" xfId="0">
      <alignment horizontal="general" vertical="bottom"/>
    </xf>
    <xf numFmtId="0" fontId="19" fillId="16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0" fontId="19" fillId="7" borderId="0" applyAlignment="1" pivotButton="0" quotePrefix="0" xfId="0">
      <alignment horizontal="general" vertical="bottom"/>
    </xf>
    <xf numFmtId="166" fontId="19" fillId="1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0" fillId="1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7" fontId="21" fillId="0" borderId="0" applyAlignment="1" pivotButton="0" quotePrefix="0" xfId="0">
      <alignment horizontal="general" vertical="bottom"/>
    </xf>
    <xf numFmtId="167" fontId="26" fillId="0" borderId="0" applyAlignment="1" pivotButton="0" quotePrefix="0" xfId="0">
      <alignment horizontal="general" vertical="bottom"/>
    </xf>
    <xf numFmtId="167" fontId="32" fillId="0" borderId="0" applyAlignment="1" pivotButton="0" quotePrefix="0" xfId="0">
      <alignment horizontal="general" vertical="bottom"/>
    </xf>
    <xf numFmtId="0" fontId="38" fillId="10" borderId="1" applyAlignment="1" pivotButton="0" quotePrefix="0" xfId="0">
      <alignment horizontal="left" vertical="center"/>
    </xf>
    <xf numFmtId="0" fontId="38" fillId="10" borderId="1" applyAlignment="1" pivotButton="0" quotePrefix="0" xfId="0">
      <alignment horizontal="center" vertical="center"/>
    </xf>
    <xf numFmtId="0" fontId="41" fillId="10" borderId="1" applyAlignment="1" pivotButton="0" quotePrefix="0" xfId="0">
      <alignment horizontal="left" vertical="center" wrapText="1"/>
    </xf>
    <xf numFmtId="0" fontId="35" fillId="17" borderId="0" applyAlignment="1" pivotButton="0" quotePrefix="0" xfId="0">
      <alignment vertical="center" wrapText="1"/>
    </xf>
    <xf numFmtId="0" fontId="38" fillId="24" borderId="0" applyAlignment="1" pivotButton="0" quotePrefix="0" xfId="0">
      <alignment vertical="center" wrapText="1"/>
    </xf>
    <xf numFmtId="0" fontId="37" fillId="0" borderId="0" applyAlignment="1" pivotButton="0" quotePrefix="0" xfId="0">
      <alignment vertical="center" wrapText="1"/>
    </xf>
    <xf numFmtId="0" fontId="36" fillId="25" borderId="0" applyAlignment="1" pivotButton="0" quotePrefix="0" xfId="0">
      <alignment vertical="center" wrapText="1"/>
    </xf>
    <xf numFmtId="0" fontId="42" fillId="21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vertical="top" wrapText="1"/>
    </xf>
    <xf numFmtId="0" fontId="36" fillId="6" borderId="0" applyAlignment="1" pivotButton="0" quotePrefix="0" xfId="0">
      <alignment horizontal="left" vertical="center"/>
    </xf>
    <xf numFmtId="0" fontId="43" fillId="6" borderId="0" applyAlignment="1" pivotButton="0" quotePrefix="0" xfId="0">
      <alignment horizontal="left" vertical="center"/>
    </xf>
    <xf numFmtId="0" fontId="36" fillId="6" borderId="0" applyAlignment="1" pivotButton="0" quotePrefix="0" xfId="0">
      <alignment horizontal="center" vertical="center"/>
    </xf>
    <xf numFmtId="0" fontId="37" fillId="6" borderId="0" applyAlignment="1" pivotButton="0" quotePrefix="0" xfId="0">
      <alignment wrapText="1"/>
    </xf>
    <xf numFmtId="0" fontId="44" fillId="23" borderId="0" applyAlignment="1" pivotButton="0" quotePrefix="0" xfId="0">
      <alignment horizontal="center" vertical="center" wrapText="1"/>
    </xf>
    <xf numFmtId="0" fontId="44" fillId="7" borderId="0" applyAlignment="1" pivotButton="0" quotePrefix="0" xfId="0">
      <alignment horizontal="left" vertical="center"/>
    </xf>
    <xf numFmtId="0" fontId="36" fillId="7" borderId="0" applyAlignment="1" pivotButton="0" quotePrefix="0" xfId="0">
      <alignment horizontal="left" vertical="center" wrapText="1"/>
    </xf>
    <xf numFmtId="0" fontId="36" fillId="8" borderId="0" applyAlignment="1" pivotButton="0" quotePrefix="0" xfId="0">
      <alignment horizontal="left" vertical="center" wrapText="1"/>
    </xf>
    <xf numFmtId="0" fontId="45" fillId="0" borderId="0" pivotButton="0" quotePrefix="0" xfId="0"/>
    <xf numFmtId="0" fontId="35" fillId="17" borderId="0" pivotButton="0" quotePrefix="0" xfId="0"/>
    <xf numFmtId="0" fontId="36" fillId="21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46" fillId="28" borderId="2" applyAlignment="1" pivotButton="0" quotePrefix="0" xfId="0">
      <alignment horizontal="center" vertical="center" wrapText="1"/>
    </xf>
    <xf numFmtId="0" fontId="47" fillId="28" borderId="2" applyAlignment="1" pivotButton="0" quotePrefix="0" xfId="0">
      <alignment horizontal="center" vertical="center" wrapText="1"/>
    </xf>
    <xf numFmtId="0" fontId="0" fillId="27" borderId="0" pivotButton="0" quotePrefix="0" xfId="0"/>
    <xf numFmtId="0" fontId="48" fillId="28" borderId="2" applyAlignment="1" pivotButton="0" quotePrefix="0" xfId="0">
      <alignment horizontal="left" vertical="center" wrapText="1"/>
    </xf>
    <xf numFmtId="0" fontId="49" fillId="28" borderId="2" applyAlignment="1" pivotButton="0" quotePrefix="0" xfId="0">
      <alignment horizontal="center" vertical="center" wrapText="1"/>
    </xf>
    <xf numFmtId="0" fontId="50" fillId="29" borderId="2" applyAlignment="1" pivotButton="0" quotePrefix="0" xfId="0">
      <alignment horizontal="left" vertical="center" wrapText="1"/>
    </xf>
    <xf numFmtId="0" fontId="51" fillId="29" borderId="2" applyAlignment="1" pivotButton="0" quotePrefix="0" xfId="0">
      <alignment horizontal="right" vertical="center"/>
    </xf>
    <xf numFmtId="0" fontId="47" fillId="29" borderId="2" applyAlignment="1" pivotButton="0" quotePrefix="0" xfId="0">
      <alignment horizontal="left" vertical="center" wrapText="1"/>
    </xf>
    <xf numFmtId="0" fontId="50" fillId="30" borderId="2" applyAlignment="1" pivotButton="0" quotePrefix="0" xfId="0">
      <alignment horizontal="left" vertical="center" wrapText="1"/>
    </xf>
    <xf numFmtId="0" fontId="51" fillId="30" borderId="2" applyAlignment="1" pivotButton="0" quotePrefix="0" xfId="0">
      <alignment horizontal="right" vertical="center"/>
    </xf>
    <xf numFmtId="0" fontId="47" fillId="30" borderId="2" applyAlignment="1" pivotButton="0" quotePrefix="0" xfId="0">
      <alignment horizontal="left" vertical="center" wrapText="1"/>
    </xf>
    <xf numFmtId="0" fontId="52" fillId="31" borderId="2" applyAlignment="1" pivotButton="0" quotePrefix="0" xfId="0">
      <alignment horizontal="left" vertical="center" wrapText="1"/>
    </xf>
    <xf numFmtId="0" fontId="52" fillId="31" borderId="2" applyAlignment="1" pivotButton="0" quotePrefix="0" xfId="0">
      <alignment horizontal="right" vertical="center"/>
    </xf>
    <xf numFmtId="0" fontId="47" fillId="31" borderId="2" applyAlignment="1" pivotButton="0" quotePrefix="0" xfId="0">
      <alignment horizontal="left" vertical="center" wrapText="1"/>
    </xf>
    <xf numFmtId="0" fontId="53" fillId="30" borderId="2" applyAlignment="1" pivotButton="0" quotePrefix="0" xfId="0">
      <alignment horizontal="right" vertical="center"/>
    </xf>
    <xf numFmtId="0" fontId="47" fillId="30" borderId="2" applyAlignment="1" pivotButton="0" quotePrefix="0" xfId="0">
      <alignment horizontal="center" vertical="center" wrapText="1"/>
    </xf>
    <xf numFmtId="0" fontId="53" fillId="29" borderId="2" applyAlignment="1" pivotButton="0" quotePrefix="0" xfId="0">
      <alignment horizontal="right" vertical="center"/>
    </xf>
    <xf numFmtId="0" fontId="47" fillId="29" borderId="2" applyAlignment="1" pivotButton="0" quotePrefix="0" xfId="0">
      <alignment horizontal="center" vertical="center" wrapText="1"/>
    </xf>
    <xf numFmtId="0" fontId="54" fillId="32" borderId="2" applyAlignment="1" pivotButton="0" quotePrefix="0" xfId="0">
      <alignment horizontal="left" vertical="center" wrapText="1"/>
    </xf>
    <xf numFmtId="0" fontId="54" fillId="32" borderId="2" applyAlignment="1" pivotButton="0" quotePrefix="0" xfId="0">
      <alignment horizontal="right" vertical="center"/>
    </xf>
    <xf numFmtId="0" fontId="47" fillId="32" borderId="2" applyAlignment="1" pivotButton="0" quotePrefix="0" xfId="0">
      <alignment horizontal="left" vertical="center" wrapText="1"/>
    </xf>
    <xf numFmtId="0" fontId="55" fillId="30" borderId="2" applyAlignment="1" pivotButton="0" quotePrefix="0" xfId="0">
      <alignment horizontal="right" vertical="center"/>
    </xf>
    <xf numFmtId="0" fontId="55" fillId="29" borderId="2" applyAlignment="1" pivotButton="0" quotePrefix="0" xfId="0">
      <alignment horizontal="right" vertical="center"/>
    </xf>
    <xf numFmtId="0" fontId="47" fillId="31" borderId="2" applyAlignment="1" pivotButton="0" quotePrefix="0" xfId="0">
      <alignment horizontal="center" vertical="center" wrapText="1"/>
    </xf>
    <xf numFmtId="0" fontId="56" fillId="33" borderId="2" applyAlignment="1" pivotButton="0" quotePrefix="0" xfId="0">
      <alignment horizontal="left" vertical="center" wrapText="1"/>
    </xf>
    <xf numFmtId="0" fontId="56" fillId="33" borderId="2" applyAlignment="1" pivotButton="0" quotePrefix="0" xfId="0">
      <alignment horizontal="right" vertical="center"/>
    </xf>
    <xf numFmtId="0" fontId="56" fillId="33" borderId="2" applyAlignment="1" pivotButton="0" quotePrefix="0" xfId="0">
      <alignment horizontal="center" vertical="center" wrapText="1"/>
    </xf>
    <xf numFmtId="0" fontId="47" fillId="33" borderId="2" applyAlignment="1" pivotButton="0" quotePrefix="0" xfId="0">
      <alignment horizontal="left" vertical="center" wrapText="1"/>
    </xf>
    <xf numFmtId="0" fontId="49" fillId="34" borderId="2" applyAlignment="1" pivotButton="0" quotePrefix="0" xfId="0">
      <alignment horizontal="left" vertical="center" wrapText="1"/>
    </xf>
    <xf numFmtId="0" fontId="50" fillId="34" borderId="2" applyAlignment="1" pivotButton="0" quotePrefix="0" xfId="0">
      <alignment horizontal="center" vertical="center" wrapText="1"/>
    </xf>
    <xf numFmtId="0" fontId="52" fillId="34" borderId="2" applyAlignment="1" pivotButton="0" quotePrefix="0" xfId="0">
      <alignment horizontal="center" vertical="center" wrapText="1"/>
    </xf>
    <xf numFmtId="0" fontId="50" fillId="34" borderId="2" applyAlignment="1" pivotButton="0" quotePrefix="0" xfId="0">
      <alignment horizontal="left" vertical="center" wrapText="1"/>
    </xf>
    <xf numFmtId="0" fontId="51" fillId="34" borderId="2" applyAlignment="1" pivotButton="0" quotePrefix="0" xfId="0">
      <alignment horizontal="right" vertical="center"/>
    </xf>
    <xf numFmtId="0" fontId="47" fillId="34" borderId="2" applyAlignment="1" pivotButton="0" quotePrefix="0" xfId="0">
      <alignment horizontal="left" vertical="center" wrapText="1"/>
    </xf>
    <xf numFmtId="0" fontId="50" fillId="32" borderId="2" applyAlignment="1" pivotButton="0" quotePrefix="0" xfId="0">
      <alignment horizontal="left" vertical="center" wrapText="1"/>
    </xf>
    <xf numFmtId="0" fontId="54" fillId="32" borderId="2" applyAlignment="1" pivotButton="0" quotePrefix="0" xfId="0">
      <alignment horizontal="center" vertical="center" wrapText="1"/>
    </xf>
    <xf numFmtId="0" fontId="50" fillId="32" borderId="2" applyAlignment="1" pivotButton="0" quotePrefix="0" xfId="0">
      <alignment horizontal="center" vertical="center" wrapText="1"/>
    </xf>
    <xf numFmtId="0" fontId="50" fillId="33" borderId="2" applyAlignment="1" pivotButton="0" quotePrefix="0" xfId="0">
      <alignment horizontal="left" vertical="center" wrapText="1"/>
    </xf>
    <xf numFmtId="0" fontId="50" fillId="33" borderId="2" applyAlignment="1" pivotButton="0" quotePrefix="0" xfId="0">
      <alignment horizontal="center" vertical="center" wrapText="1"/>
    </xf>
    <xf numFmtId="0" fontId="50" fillId="29" borderId="2" applyAlignment="1" pivotButton="0" quotePrefix="0" xfId="0">
      <alignment horizontal="center" vertical="center" wrapText="1"/>
    </xf>
    <xf numFmtId="0" fontId="48" fillId="28" borderId="2" applyAlignment="1" pivotButton="0" quotePrefix="0" xfId="0">
      <alignment horizontal="right" vertical="center"/>
    </xf>
    <xf numFmtId="0" fontId="47" fillId="28" borderId="2" applyAlignment="1" pivotButton="0" quotePrefix="0" xfId="0">
      <alignment horizontal="left" vertical="center" wrapText="1"/>
    </xf>
    <xf numFmtId="0" fontId="54" fillId="28" borderId="2" applyAlignment="1" pivotButton="0" quotePrefix="0" xfId="0">
      <alignment horizontal="left" vertical="center" wrapText="1"/>
    </xf>
    <xf numFmtId="0" fontId="54" fillId="28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57" fillId="28" borderId="2" applyAlignment="1" pivotButton="0" quotePrefix="0" xfId="0">
      <alignment horizontal="center" vertical="center" wrapText="1"/>
    </xf>
    <xf numFmtId="0" fontId="50" fillId="30" borderId="2" applyAlignment="1" pivotButton="0" quotePrefix="0" xfId="0">
      <alignment horizontal="center" vertical="center" wrapText="1"/>
    </xf>
    <xf numFmtId="0" fontId="56" fillId="30" borderId="2" applyAlignment="1" pivotButton="0" quotePrefix="0" xfId="0">
      <alignment horizontal="right" vertical="center"/>
    </xf>
    <xf numFmtId="0" fontId="56" fillId="29" borderId="2" applyAlignment="1" pivotButton="0" quotePrefix="0" xfId="0">
      <alignment horizontal="right" vertical="center"/>
    </xf>
    <xf numFmtId="0" fontId="52" fillId="31" borderId="2" applyAlignment="1" pivotButton="0" quotePrefix="0" xfId="0">
      <alignment horizontal="center" vertical="center" wrapText="1"/>
    </xf>
    <xf numFmtId="0" fontId="51" fillId="31" borderId="2" applyAlignment="1" pivotButton="0" quotePrefix="0" xfId="0">
      <alignment horizontal="right" vertical="center"/>
    </xf>
    <xf numFmtId="0" fontId="58" fillId="33" borderId="2" applyAlignment="1" pivotButton="0" quotePrefix="0" xfId="0">
      <alignment horizontal="right" vertical="center"/>
    </xf>
    <xf numFmtId="0" fontId="49" fillId="29" borderId="2" applyAlignment="1" pivotButton="0" quotePrefix="0" xfId="0">
      <alignment horizontal="left" vertical="center" wrapText="1"/>
    </xf>
    <xf numFmtId="0" fontId="49" fillId="30" borderId="2" applyAlignment="1" pivotButton="0" quotePrefix="0" xfId="0">
      <alignment horizontal="left" vertical="center" wrapText="1"/>
    </xf>
    <xf numFmtId="0" fontId="59" fillId="35" borderId="0" applyAlignment="1" pivotButton="0" quotePrefix="0" xfId="0">
      <alignment horizontal="center" vertical="center" wrapText="1"/>
    </xf>
    <xf numFmtId="0" fontId="60" fillId="36" borderId="0" applyAlignment="1" pivotButton="0" quotePrefix="0" xfId="0">
      <alignment horizontal="center" vertical="center" wrapText="1"/>
    </xf>
    <xf numFmtId="0" fontId="61" fillId="35" borderId="7" applyAlignment="1" pivotButton="0" quotePrefix="0" xfId="0">
      <alignment horizontal="center" vertical="center" wrapText="1"/>
    </xf>
    <xf numFmtId="0" fontId="61" fillId="36" borderId="7" applyAlignment="1" pivotButton="0" quotePrefix="0" xfId="0">
      <alignment horizontal="left" vertical="center" wrapText="1"/>
    </xf>
    <xf numFmtId="0" fontId="62" fillId="37" borderId="7" applyAlignment="1" pivotButton="0" quotePrefix="0" xfId="0">
      <alignment horizontal="left" vertical="center" wrapText="1"/>
    </xf>
    <xf numFmtId="170" fontId="62" fillId="37" borderId="7" applyAlignment="1" pivotButton="0" quotePrefix="0" xfId="0">
      <alignment horizontal="right" vertical="center" wrapText="1"/>
    </xf>
    <xf numFmtId="0" fontId="62" fillId="38" borderId="7" applyAlignment="1" pivotButton="0" quotePrefix="0" xfId="0">
      <alignment horizontal="center" vertical="center" wrapText="1"/>
    </xf>
    <xf numFmtId="0" fontId="62" fillId="39" borderId="7" applyAlignment="1" pivotButton="0" quotePrefix="0" xfId="0">
      <alignment horizontal="left" vertical="center" wrapText="1"/>
    </xf>
    <xf numFmtId="170" fontId="62" fillId="39" borderId="7" applyAlignment="1" pivotButton="0" quotePrefix="0" xfId="0">
      <alignment horizontal="right" vertical="center" wrapText="1"/>
    </xf>
    <xf numFmtId="0" fontId="62" fillId="39" borderId="7" applyAlignment="1" pivotButton="0" quotePrefix="0" xfId="0">
      <alignment horizontal="center" vertical="center" wrapText="1"/>
    </xf>
    <xf numFmtId="0" fontId="63" fillId="40" borderId="7" applyAlignment="1" pivotButton="0" quotePrefix="0" xfId="0">
      <alignment horizontal="left" vertical="center" wrapText="1"/>
    </xf>
    <xf numFmtId="170" fontId="63" fillId="40" borderId="7" applyAlignment="1" pivotButton="0" quotePrefix="0" xfId="0">
      <alignment horizontal="right" vertical="center" wrapText="1"/>
    </xf>
    <xf numFmtId="0" fontId="63" fillId="38" borderId="7" applyAlignment="1" pivotButton="0" quotePrefix="0" xfId="0">
      <alignment horizontal="center" vertical="center" wrapText="1"/>
    </xf>
    <xf numFmtId="0" fontId="64" fillId="40" borderId="7" applyAlignment="1" pivotButton="0" quotePrefix="0" xfId="0">
      <alignment horizontal="left" vertical="center" wrapText="1"/>
    </xf>
    <xf numFmtId="0" fontId="65" fillId="40" borderId="7" applyAlignment="1" pivotButton="0" quotePrefix="0" xfId="0">
      <alignment horizontal="center" vertical="center" wrapText="1"/>
    </xf>
    <xf numFmtId="170" fontId="64" fillId="40" borderId="7" applyAlignment="1" pivotButton="0" quotePrefix="0" xfId="0">
      <alignment horizontal="right" vertical="center" wrapText="1"/>
    </xf>
    <xf numFmtId="0" fontId="64" fillId="38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63" fillId="39" borderId="7" applyAlignment="1" pivotButton="0" quotePrefix="0" xfId="0">
      <alignment horizontal="left" vertical="center" wrapText="1"/>
    </xf>
    <xf numFmtId="170" fontId="63" fillId="41" borderId="7" applyAlignment="1" pivotButton="0" quotePrefix="0" xfId="0">
      <alignment horizontal="right" vertical="center" wrapText="1"/>
    </xf>
    <xf numFmtId="170" fontId="63" fillId="42" borderId="7" applyAlignment="1" pivotButton="0" quotePrefix="0" xfId="0">
      <alignment horizontal="right" vertical="center" wrapText="1"/>
    </xf>
    <xf numFmtId="0" fontId="66" fillId="38" borderId="7" applyAlignment="1" pivotButton="0" quotePrefix="0" xfId="0">
      <alignment horizontal="center" vertical="center" wrapText="1"/>
    </xf>
    <xf numFmtId="170" fontId="62" fillId="41" borderId="7" applyAlignment="1" pivotButton="0" quotePrefix="0" xfId="0">
      <alignment horizontal="right" vertical="center" wrapText="1"/>
    </xf>
    <xf numFmtId="170" fontId="62" fillId="42" borderId="7" applyAlignment="1" pivotButton="0" quotePrefix="0" xfId="0">
      <alignment horizontal="right" vertical="center" wrapText="1"/>
    </xf>
    <xf numFmtId="0" fontId="64" fillId="39" borderId="7" applyAlignment="1" pivotButton="0" quotePrefix="0" xfId="0">
      <alignment horizontal="left" vertical="center" wrapText="1"/>
    </xf>
    <xf numFmtId="0" fontId="65" fillId="39" borderId="7" applyAlignment="1" pivotButton="0" quotePrefix="0" xfId="0">
      <alignment horizontal="center" vertical="center" wrapText="1"/>
    </xf>
    <xf numFmtId="0" fontId="64" fillId="39" borderId="7" applyAlignment="1" pivotButton="0" quotePrefix="0" xfId="0">
      <alignment horizontal="center" vertical="center" wrapText="1"/>
    </xf>
    <xf numFmtId="0" fontId="64" fillId="37" borderId="7" applyAlignment="1" pivotButton="0" quotePrefix="0" xfId="0">
      <alignment horizontal="left" vertical="center" wrapText="1"/>
    </xf>
    <xf numFmtId="0" fontId="65" fillId="37" borderId="7" applyAlignment="1" pivotButton="0" quotePrefix="0" xfId="0">
      <alignment horizontal="center" vertical="center" wrapText="1"/>
    </xf>
    <xf numFmtId="0" fontId="66" fillId="42" borderId="7" applyAlignment="1" pivotButton="0" quotePrefix="0" xfId="0">
      <alignment horizontal="left" vertical="center" wrapText="1"/>
    </xf>
    <xf numFmtId="0" fontId="62" fillId="43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61" fillId="36" borderId="0" applyAlignment="1" pivotButton="0" quotePrefix="0" xfId="0">
      <alignment horizontal="left" vertical="center"/>
    </xf>
    <xf numFmtId="0" fontId="63" fillId="41" borderId="0" applyAlignment="1" pivotButton="0" quotePrefix="0" xfId="0">
      <alignment horizontal="left" vertical="center"/>
    </xf>
    <xf numFmtId="0" fontId="67" fillId="41" borderId="0" applyAlignment="1" pivotButton="0" quotePrefix="0" xfId="0">
      <alignment horizontal="left" vertical="center" wrapText="1"/>
    </xf>
    <xf numFmtId="0" fontId="63" fillId="42" borderId="0" applyAlignment="1" pivotButton="0" quotePrefix="0" xfId="0">
      <alignment horizontal="left" vertical="center"/>
    </xf>
    <xf numFmtId="0" fontId="67" fillId="42" borderId="0" applyAlignment="1" pivotButton="0" quotePrefix="0" xfId="0">
      <alignment horizontal="left" vertical="center" wrapText="1"/>
    </xf>
    <xf numFmtId="0" fontId="63" fillId="38" borderId="0" applyAlignment="1" pivotButton="0" quotePrefix="0" xfId="0">
      <alignment horizontal="left" vertical="center"/>
    </xf>
    <xf numFmtId="0" fontId="67" fillId="38" borderId="0" applyAlignment="1" pivotButton="0" quotePrefix="0" xfId="0">
      <alignment horizontal="left" vertical="center" wrapText="1"/>
    </xf>
    <xf numFmtId="0" fontId="63" fillId="43" borderId="0" applyAlignment="1" pivotButton="0" quotePrefix="0" xfId="0">
      <alignment horizontal="left" vertical="center"/>
    </xf>
    <xf numFmtId="0" fontId="67" fillId="43" borderId="0" applyAlignment="1" pivotButton="0" quotePrefix="0" xfId="0">
      <alignment horizontal="left" vertical="center" wrapText="1"/>
    </xf>
    <xf numFmtId="0" fontId="66" fillId="42" borderId="0" applyAlignment="1" pivotButton="0" quotePrefix="0" xfId="0">
      <alignment horizontal="left" vertical="center" wrapText="1"/>
    </xf>
    <xf numFmtId="0" fontId="68" fillId="38" borderId="0" applyAlignment="1" pivotButton="0" quotePrefix="0" xfId="0">
      <alignment horizontal="left" vertical="center" wrapText="1"/>
    </xf>
    <xf numFmtId="0" fontId="66" fillId="42" borderId="0" applyAlignment="1" pivotButton="0" quotePrefix="0" xfId="0">
      <alignment horizontal="left" vertical="center"/>
    </xf>
    <xf numFmtId="0" fontId="69" fillId="42" borderId="0" applyAlignment="1" pivotButton="0" quotePrefix="0" xfId="0">
      <alignment horizontal="left" vertical="center" wrapText="1"/>
    </xf>
    <xf numFmtId="0" fontId="70" fillId="43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4F81BD"/>
      <rgbColor rgb="FFD9E1F2"/>
      <rgbColor rgb="FF878787"/>
      <rgbColor rgb="FF9999FF"/>
      <rgbColor rgb="FF993366"/>
      <rgbColor rgb="FFFFF9C4"/>
      <rgbColor rgb="FFE8F5E9"/>
      <rgbColor rgb="FF660066"/>
      <rgbColor rgb="FFFF444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2CC"/>
      <rgbColor rgb="FFF2F2F2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00B050"/>
      <rgbColor rgb="FF003300"/>
      <rgbColor rgb="FF555555"/>
      <rgbColor rgb="FF993300"/>
      <rgbColor rgb="FF993366"/>
      <rgbColor rgb="FF305496"/>
      <rgbColor rgb="FF1F4E7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Netto-Cashflow Privat 2019–2026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'Jahres-Cashflow Privat'!$B$3:$I$3</f>
              <strCache>
                <ptCount val="8"/>
                <pt idx="0">
                  <v>None</v>
                </pt>
                <pt idx="1">
                  <v>None</v>
                </pt>
                <pt idx="2">
                  <v>None</v>
                </pt>
                <pt idx="3">
                  <v>None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</strCache>
            </strRef>
          </cat>
          <val>
            <numRef>
              <f>'Jahres-Cashflow Privat'!$B$15:$I$15</f>
              <numCache>
                <formatCode>#,##0;\(#,##0\);\-</formatCode>
                <ptCount val="8"/>
                <pt idx="0">
                  <v>0</v>
                </pt>
                <pt idx="1">
                  <v>-3617</v>
                </pt>
                <pt idx="2">
                  <v>-16348</v>
                </pt>
                <pt idx="3">
                  <v>-16348</v>
                </pt>
                <pt idx="4">
                  <v>-16349</v>
                </pt>
                <pt idx="5">
                  <v>-16348</v>
                </pt>
                <pt idx="6">
                  <v>-16348</v>
                </pt>
                <pt idx="7">
                  <v>-5453</v>
                </pt>
              </numCache>
            </numRef>
          </val>
        </ser>
        <gapWidth val="150"/>
        <overlap val="0"/>
        <axId val="29099027"/>
        <axId val="84787728"/>
      </barChart>
      <catAx>
        <axId val="2909902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Jahr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4787728"/>
        <crosses val="autoZero"/>
        <auto val="1"/>
        <lblAlgn val="ctr"/>
        <lblOffset val="100"/>
        <noMultiLvlLbl val="0"/>
      </catAx>
      <valAx>
        <axId val="8478772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EUR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;\(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909902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19</row>
      <rowOff>0</rowOff>
    </from>
    <to>
      <col>6</col>
      <colOff>854640</colOff>
      <row>41</row>
      <rowOff>127080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126" min="1" max="1"/>
    <col width="32" customWidth="1" style="126" min="2" max="2"/>
    <col width="20" customWidth="1" style="126" min="3" max="3"/>
    <col width="16" customWidth="1" style="126" min="4" max="5"/>
    <col width="22" customWidth="1" style="126" min="6" max="6"/>
  </cols>
  <sheetData>
    <row r="1" ht="39.75" customHeight="1" s="127">
      <c r="A1" s="128" t="inlineStr">
        <is>
          <t>FINANZANALYSE OLEG KOBER | Konsolidierter Überblick 2019–2026</t>
        </is>
      </c>
    </row>
    <row r="3" ht="15" customHeight="1" s="127">
      <c r="A3" s="129" t="inlineStr">
        <is>
          <t>KONTEN-INVENTAR</t>
        </is>
      </c>
    </row>
    <row r="4" ht="15" customHeight="1" s="127">
      <c r="A4" s="130" t="inlineStr">
        <is>
          <t>Konto</t>
        </is>
      </c>
      <c r="B4" s="130" t="inlineStr">
        <is>
          <t>IBAN</t>
        </is>
      </c>
      <c r="C4" s="130" t="inlineStr">
        <is>
          <t>Institut</t>
        </is>
      </c>
      <c r="D4" s="130" t="inlineStr">
        <is>
          <t>Status</t>
        </is>
      </c>
      <c r="E4" s="130" t="inlineStr">
        <is>
          <t>Saldo (aktuell)</t>
        </is>
      </c>
      <c r="F4" s="130" t="inlineStr">
        <is>
          <t>Hinweis</t>
        </is>
      </c>
    </row>
    <row r="5" ht="19.5" customHeight="1" s="127">
      <c r="A5" s="131" t="inlineStr">
        <is>
          <t>Consorsbank Privat (Haupt)</t>
        </is>
      </c>
      <c r="B5" s="132" t="inlineStr">
        <is>
          <t>DE23 7603 0080 0250 1204 93</t>
        </is>
      </c>
      <c r="C5" s="132" t="inlineStr">
        <is>
          <t>Consorsbank</t>
        </is>
      </c>
      <c r="D5" s="133" t="inlineStr">
        <is>
          <t>AKTIV</t>
        </is>
      </c>
      <c r="E5" s="134" t="inlineStr">
        <is>
          <t>~+Laufend</t>
        </is>
      </c>
      <c r="F5" s="135" t="inlineStr">
        <is>
          <t>Hauptkonto, Gehalt + Ausgaben</t>
        </is>
      </c>
    </row>
    <row r="6" ht="19.5" customHeight="1" s="127">
      <c r="A6" s="136" t="inlineStr">
        <is>
          <t>Consorsbank Privat (2.)</t>
        </is>
      </c>
      <c r="B6" s="136" t="inlineStr">
        <is>
          <t>DE10 7603 0080 0260 8092 54</t>
        </is>
      </c>
      <c r="C6" s="136" t="inlineStr">
        <is>
          <t>Consorsbank</t>
        </is>
      </c>
      <c r="D6" s="137" t="inlineStr">
        <is>
          <t>GELÖSCHT 02/2026</t>
        </is>
      </c>
      <c r="E6" s="138" t="inlineStr">
        <is>
          <t>0,00 €</t>
        </is>
      </c>
      <c r="F6" s="139" t="inlineStr">
        <is>
          <t>War Alessio-Miete Passthrough</t>
        </is>
      </c>
    </row>
    <row r="7" ht="19.5" customHeight="1" s="127">
      <c r="A7" s="132" t="inlineStr">
        <is>
          <t>OK Capital UG – Deutsche Bank</t>
        </is>
      </c>
      <c r="B7" s="132" t="inlineStr">
        <is>
          <t>DE35 1007 0124 0315 4192 00</t>
        </is>
      </c>
      <c r="C7" s="132" t="inlineStr">
        <is>
          <t>Deutsche Bank</t>
        </is>
      </c>
      <c r="D7" s="133" t="inlineStr">
        <is>
          <t>INAKTIV</t>
        </is>
      </c>
      <c r="E7" s="134" t="inlineStr">
        <is>
          <t>-14,60 €</t>
        </is>
      </c>
      <c r="F7" s="135" t="inlineStr">
        <is>
          <t>Nur Porto-Gebühren, dormant</t>
        </is>
      </c>
    </row>
    <row r="8" ht="19.5" customHeight="1" s="127">
      <c r="A8" s="136" t="inlineStr">
        <is>
          <t>Wagglz GmbH – Deutsche Bank</t>
        </is>
      </c>
      <c r="B8" s="136" t="inlineStr">
        <is>
          <t>DE37 1007 0100 0315 4184 00</t>
        </is>
      </c>
      <c r="C8" s="136" t="inlineStr">
        <is>
          <t>Deutsche Bank</t>
        </is>
      </c>
      <c r="D8" s="140" t="inlineStr">
        <is>
          <t>INAKTIV</t>
        </is>
      </c>
      <c r="E8" s="138" t="inlineStr">
        <is>
          <t>-21,16 €</t>
        </is>
      </c>
      <c r="F8" s="139" t="inlineStr">
        <is>
          <t>Betriebskonto, weitgehend leer</t>
        </is>
      </c>
    </row>
    <row r="9" ht="19.5" customHeight="1" s="127">
      <c r="A9" s="132" t="inlineStr">
        <is>
          <t>Wagglz GmbH – Finom</t>
        </is>
      </c>
      <c r="B9" s="132" t="inlineStr">
        <is>
          <t>DE36 1001 8000 0083 4655 73</t>
        </is>
      </c>
      <c r="C9" s="132" t="inlineStr">
        <is>
          <t>Finom</t>
        </is>
      </c>
      <c r="D9" s="141" t="inlineStr">
        <is>
          <t>GELÖSCHT 06/2026</t>
        </is>
      </c>
      <c r="E9" s="134" t="inlineStr">
        <is>
          <t>0,00 €</t>
        </is>
      </c>
      <c r="F9" s="135" t="inlineStr">
        <is>
          <t>War operatives Hauptkonto</t>
        </is>
      </c>
    </row>
    <row r="10" ht="19.5" customHeight="1" s="127">
      <c r="A10" s="136" t="inlineStr">
        <is>
          <t>OK Capital UG – Finom</t>
        </is>
      </c>
      <c r="B10" s="136" t="inlineStr">
        <is>
          <t>DE27 1001 8000 0134 9300 55</t>
        </is>
      </c>
      <c r="C10" s="136" t="inlineStr">
        <is>
          <t>Finom</t>
        </is>
      </c>
      <c r="D10" s="137" t="inlineStr">
        <is>
          <t>GELÖSCHT 06/2026</t>
        </is>
      </c>
      <c r="E10" s="138" t="inlineStr">
        <is>
          <t>0,00 €</t>
        </is>
      </c>
      <c r="F10" s="139" t="inlineStr">
        <is>
          <t>Nur Bürokosten Schönefeld</t>
        </is>
      </c>
    </row>
    <row r="11" ht="19.5" customHeight="1" s="127">
      <c r="A11" s="284" t="inlineStr">
        <is>
          <t>Oleg Privat – Deutsche Bank (?)</t>
        </is>
      </c>
      <c r="B11" s="284" t="inlineStr">
        <is>
          <t>DE80 7007 0362 0063 0319 00</t>
        </is>
      </c>
      <c r="C11" s="284" t="inlineStr">
        <is>
          <t>Deutsche Bank München</t>
        </is>
      </c>
      <c r="D11" s="285" t="inlineStr">
        <is>
          <t>WAHRSCHEINLICH PRIVAT</t>
        </is>
      </c>
      <c r="E11" s="286" t="inlineStr">
        <is>
          <t>?</t>
        </is>
      </c>
      <c r="F11" s="287" t="inlineStr">
        <is>
          <t>5.640€ von Wagglz DB Jul 2024 = Oleg-Erstattung Gesellschafterdarlehen. DB München = kein Wagglz-Konto (701315418400=Berlin). Evtl. privates DB-Konto Oleg.</t>
        </is>
      </c>
    </row>
    <row r="14" ht="15" customHeight="1" s="127">
      <c r="A14" s="129" t="inlineStr">
        <is>
          <t>SCHLÜSSELBEFUNDE DER ANALYSE</t>
        </is>
      </c>
    </row>
    <row r="15" ht="30" customHeight="1" s="127">
      <c r="A15" s="288" t="inlineStr">
        <is>
          <t>🟢 GELOEST</t>
        </is>
      </c>
      <c r="B15" s="289" t="inlineStr">
        <is>
          <t>Doctolib Gehalt BESTAETIGT</t>
        </is>
      </c>
      <c r="C15" s="290" t="inlineStr">
        <is>
          <t>✅ GELOEST: 3.638,82 EUR/Monat netto auf Consorsbank DE23 (250120493). GEHALT/RENTE Buchung. Jan-Mai 2026: 5 Gehaltseingaenge bestätigt.</t>
        </is>
      </c>
    </row>
    <row r="16" ht="30" customHeight="1" s="127">
      <c r="A16" s="146" t="inlineStr">
        <is>
          <t>🔴 KRITISCH</t>
        </is>
      </c>
      <c r="B16" s="147" t="inlineStr">
        <is>
          <t>2026-Cashflow-Krise auf Consorsbank</t>
        </is>
      </c>
      <c r="C16" s="149" t="inlineStr">
        <is>
          <t>✅ KORRIGIERT: 2026 Jan-Mai Netto = +4.063€ (war Datenfehler, PDFs fehlten im CSV). Doctolib-Gehalt 3.638,82€/Monat netto bestätigt.</t>
        </is>
      </c>
    </row>
    <row r="17" ht="30" customHeight="1" s="127">
      <c r="A17" s="150" t="inlineStr">
        <is>
          <t>🟡 WICHTIG</t>
        </is>
      </c>
      <c r="B17" s="151" t="inlineStr">
        <is>
          <t>Gesellschafterdarlehnen akkumuliert</t>
        </is>
      </c>
      <c r="C17" s="291" t="inlineStr">
        <is>
          <t>JA 2024 (DATEV) BESTAETIGT: Verbindlichkeit gg. Gesellschafter = 29.397,35 EUR (31.12.2024). Zinsen 386,02 EUR. Kumuliert 2024-2026 geschätzt ~33.900 EUR. Steuerliches Verlustpotenzial bei Liquidation: ~10.558 EUR (60% Teileinkünfteverfahren, 42% Grenzsteuer).</t>
        </is>
      </c>
    </row>
    <row r="18" ht="30" customHeight="1" s="127">
      <c r="A18" s="150" t="inlineStr">
        <is>
          <t>🟡 WICHTIG</t>
        </is>
      </c>
      <c r="B18" s="151" t="inlineStr">
        <is>
          <t>Wagglz GmbH operativ eingestellt</t>
        </is>
      </c>
      <c r="C18" s="152" t="inlineStr">
        <is>
          <t>Beide Wagglz-Konten auf 0 € geschlossen (06/2026). Letzte Einnahme Diana Apotheke: Mai 2025. Lohnsteuer-Abführung endete.</t>
        </is>
      </c>
    </row>
    <row r="19" ht="30" customHeight="1" s="127">
      <c r="A19" s="153" t="inlineStr">
        <is>
          <t>🟢 INFO</t>
        </is>
      </c>
      <c r="B19" s="154" t="inlineStr">
        <is>
          <t>Krypto 2024: +66.247 € (Payward/Kraken)</t>
        </is>
      </c>
      <c r="C19" s="155" t="inlineStr">
        <is>
          <t>Erhebliche Krypto-Liquidation in 2024. Steuerliche Behandlung muss geprüft werden (Haltedauer &gt;1 Jahr = steuerfrei nach §23 EStG?).</t>
        </is>
      </c>
    </row>
    <row r="20" ht="30" customHeight="1" s="127">
      <c r="A20" s="153" t="inlineStr">
        <is>
          <t>🟢 INFO</t>
        </is>
      </c>
      <c r="B20" s="154" t="inlineStr">
        <is>
          <t>Bundesagentur für Arbeit 2024: +24.919 €</t>
        </is>
      </c>
      <c r="C20" s="155" t="inlineStr">
        <is>
          <t>ALG I-Zahlungen über das gesamte Jahr 2024 — offenbar war Oleg 2024 offiziell arbeitslos/überbrückt.</t>
        </is>
      </c>
    </row>
    <row r="21" ht="30" customHeight="1" s="127">
      <c r="A21" s="153" t="inlineStr">
        <is>
          <t>🟢 INFO</t>
        </is>
      </c>
      <c r="B21" s="154" t="inlineStr">
        <is>
          <t>Laura Jakobi 2026: -5.355 € (Ausgabe!)</t>
        </is>
      </c>
      <c r="C21" s="155" t="inlineStr">
        <is>
          <t>Trendwechsel: 2023 zahlte Laura an Oleg, 2026 zahlt Oleg an Laura. Vermutlich gemeinsame neue Wohnung (Miete) oder Splitwise-Settlement.</t>
        </is>
      </c>
    </row>
    <row r="23">
      <c r="A23" s="292" t="inlineStr">
        <is>
          <t>WAGGLZ GmbH — P&amp;L ZUSAMMENFASSUNG (OFFIZIELL)</t>
        </is>
      </c>
    </row>
    <row r="24">
      <c r="A24" s="293" t="inlineStr">
        <is>
          <t>Kennzahl</t>
        </is>
      </c>
      <c r="B24" s="293" t="inlineStr">
        <is>
          <t>2024 (8 Mon.)</t>
        </is>
      </c>
      <c r="C24" s="293" t="inlineStr">
        <is>
          <t>2025</t>
        </is>
      </c>
      <c r="D24" s="293" t="inlineStr">
        <is>
          <t>Quelle</t>
        </is>
      </c>
    </row>
    <row r="25">
      <c r="A25" s="294" t="inlineStr">
        <is>
          <t>Jahresergebnis (offiziell)</t>
        </is>
      </c>
      <c r="B25" s="295" t="inlineStr">
        <is>
          <t>-40.427 EUR</t>
        </is>
      </c>
      <c r="C25" s="295" t="inlineStr">
        <is>
          <t>-10.957 EUR</t>
        </is>
      </c>
      <c r="D25" s="296" t="inlineStr">
        <is>
          <t>JA 2024 DATEV; BWA 2025</t>
        </is>
      </c>
    </row>
    <row r="26">
      <c r="A26" s="295" t="inlineStr">
        <is>
          <t>Umsatzerlöse</t>
        </is>
      </c>
      <c r="B26" s="295" t="inlineStr">
        <is>
          <t>0 EUR</t>
        </is>
      </c>
      <c r="C26" s="295" t="inlineStr">
        <is>
          <t>16.000 EUR</t>
        </is>
      </c>
      <c r="D26" s="296" t="inlineStr">
        <is>
          <t>Gründungsjahr ohne Umsatz</t>
        </is>
      </c>
    </row>
    <row r="27">
      <c r="A27" s="294" t="inlineStr">
        <is>
          <t>Gesamtkosten</t>
        </is>
      </c>
      <c r="B27" s="295" t="inlineStr">
        <is>
          <t>-38.721 EUR</t>
        </is>
      </c>
      <c r="C27" s="295" t="inlineStr">
        <is>
          <t>-32.755 EUR</t>
        </is>
      </c>
      <c r="D27" s="296" t="inlineStr">
        <is>
          <t>incl. Zinsen</t>
        </is>
      </c>
    </row>
    <row r="28">
      <c r="A28" s="295" t="inlineStr">
        <is>
          <t>Kassenbestand 31.12</t>
        </is>
      </c>
      <c r="B28" s="295" t="inlineStr">
        <is>
          <t>2.388 EUR</t>
        </is>
      </c>
      <c r="C28" s="295" t="inlineStr">
        <is>
          <t>~24 EUR</t>
        </is>
      </c>
      <c r="D28" s="296" t="inlineStr">
        <is>
          <t>JA 2024; DB 31.12.2025</t>
        </is>
      </c>
    </row>
    <row r="29">
      <c r="A29" s="295" t="inlineStr">
        <is>
          <t>Gesellschafterdarlehen</t>
        </is>
      </c>
      <c r="B29" s="295" t="inlineStr">
        <is>
          <t>29.397 EUR</t>
        </is>
      </c>
      <c r="C29" s="295" t="inlineStr">
        <is>
          <t>~33.900 EUR</t>
        </is>
      </c>
      <c r="D29" s="296" t="inlineStr">
        <is>
          <t>JA Kto 3510</t>
        </is>
      </c>
    </row>
    <row r="30">
      <c r="A30" s="295" t="inlineStr">
        <is>
          <t>OK Capital UG Aktivitaet</t>
        </is>
      </c>
      <c r="B30" s="295" t="inlineStr">
        <is>
          <t>NUR GEBUEHREN</t>
        </is>
      </c>
      <c r="C30" s="295" t="inlineStr">
        <is>
          <t>NUR GEBUEHREN</t>
        </is>
      </c>
      <c r="D30" s="296" t="inlineStr">
        <is>
          <t>Dormant; ~470 EUR/Jahr Kosten</t>
        </is>
      </c>
    </row>
  </sheetData>
  <mergeCells count="11">
    <mergeCell ref="C18:F18"/>
    <mergeCell ref="C17:F17"/>
    <mergeCell ref="A14:F14"/>
    <mergeCell ref="A1:F1"/>
    <mergeCell ref="C20:F20"/>
    <mergeCell ref="A23:F23"/>
    <mergeCell ref="C21:F21"/>
    <mergeCell ref="C16:F16"/>
    <mergeCell ref="C15:F15"/>
    <mergeCell ref="A3:F3"/>
    <mergeCell ref="C19:F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26" min="1" max="1"/>
    <col width="14" customWidth="1" style="126" min="2" max="8"/>
    <col width="26" customWidth="1" style="126" min="9" max="9"/>
  </cols>
  <sheetData>
    <row r="1" ht="39.75" customHeight="1" s="127">
      <c r="A1" s="156" t="inlineStr">
        <is>
          <t>✓ 2026-Daten BESTÄTIGT: PDF-Auswertung Jan–Mai 2026. Doctolib 22.327€ Gehalt (inkl. 8.250€ Apr-Provision). ALG II Jan 2.202€ (einmalig). Saldo-Delta: -3.089€ → +972€ = Netto +4.061€</t>
        </is>
      </c>
    </row>
    <row r="3" ht="15" customHeight="1" s="127">
      <c r="A3" s="157" t="inlineStr">
        <is>
          <t>JAHRES-CASHFLOW PRIVAT — Consorsbank DE23 7603 0080 0250 1204 93</t>
        </is>
      </c>
      <c r="J3" s="126" t="n"/>
    </row>
    <row r="4" ht="15" customHeight="1" s="127"/>
    <row r="5" ht="15" customHeight="1" s="127">
      <c r="A5" s="158" t="inlineStr">
        <is>
          <t>Position</t>
        </is>
      </c>
      <c r="B5" s="158" t="inlineStr">
        <is>
          <t>2019</t>
        </is>
      </c>
      <c r="C5" s="158" t="inlineStr">
        <is>
          <t>2020</t>
        </is>
      </c>
      <c r="D5" s="158" t="inlineStr">
        <is>
          <t>2021</t>
        </is>
      </c>
      <c r="E5" s="158" t="inlineStr">
        <is>
          <t>2022</t>
        </is>
      </c>
      <c r="F5" s="158" t="inlineStr">
        <is>
          <t>2023</t>
        </is>
      </c>
      <c r="G5" s="158" t="inlineStr">
        <is>
          <t>2024</t>
        </is>
      </c>
      <c r="H5" s="158" t="inlineStr">
        <is>
          <t>2025</t>
        </is>
      </c>
      <c r="I5" s="158" t="inlineStr">
        <is>
          <t>2026*</t>
        </is>
      </c>
      <c r="J5" s="158" t="inlineStr">
        <is>
          <t>Kommentar</t>
        </is>
      </c>
    </row>
    <row r="6" ht="15" customHeight="1" s="127">
      <c r="A6" s="159" t="inlineStr">
        <is>
          <t>Einnahmen (gesamt)</t>
        </is>
      </c>
      <c r="B6" s="160" t="n">
        <v>15978</v>
      </c>
      <c r="C6" s="160" t="n">
        <v>15953</v>
      </c>
      <c r="D6" s="160" t="n">
        <v>70992</v>
      </c>
      <c r="E6" s="160" t="n">
        <v>43040</v>
      </c>
      <c r="F6" s="160" t="n">
        <v>41005</v>
      </c>
      <c r="G6" s="160" t="n">
        <v>124984</v>
      </c>
      <c r="H6" s="160" t="n">
        <v>27328</v>
      </c>
      <c r="I6" s="160" t="n">
        <v>28906</v>
      </c>
    </row>
    <row r="7" ht="15" customHeight="1" s="127">
      <c r="A7" s="132" t="inlineStr">
        <is>
          <t xml:space="preserve">  davon: Kraken/Krypto</t>
        </is>
      </c>
      <c r="B7" s="161" t="n">
        <v>0</v>
      </c>
      <c r="C7" s="161" t="n">
        <v>0</v>
      </c>
      <c r="D7" s="161" t="n">
        <v>0</v>
      </c>
      <c r="E7" s="161" t="n">
        <v>0</v>
      </c>
      <c r="F7" s="161" t="n">
        <v>0</v>
      </c>
      <c r="G7" s="161" t="n">
        <v>66247</v>
      </c>
      <c r="H7" s="161" t="n">
        <v>3233</v>
      </c>
      <c r="I7" s="161" t="n">
        <v>0</v>
      </c>
    </row>
    <row r="8" ht="15" customHeight="1" s="127">
      <c r="A8" s="132" t="inlineStr">
        <is>
          <t xml:space="preserve">  davon: Bundesagentur fA</t>
        </is>
      </c>
      <c r="B8" s="161" t="n">
        <v>0</v>
      </c>
      <c r="C8" s="161" t="n">
        <v>0</v>
      </c>
      <c r="D8" s="161" t="n">
        <v>0</v>
      </c>
      <c r="E8" s="161" t="n">
        <v>0</v>
      </c>
      <c r="F8" s="161" t="n">
        <v>2151</v>
      </c>
      <c r="G8" s="161" t="n">
        <v>24919</v>
      </c>
      <c r="H8" s="161" t="n">
        <v>5385</v>
      </c>
      <c r="I8" s="161" t="n">
        <v>2496</v>
      </c>
    </row>
    <row r="9" ht="15" customHeight="1" s="127">
      <c r="A9" s="132" t="inlineStr">
        <is>
          <t xml:space="preserve">  davon: Wagglz GmbH</t>
        </is>
      </c>
      <c r="B9" s="161" t="n">
        <v>0</v>
      </c>
      <c r="C9" s="161" t="n">
        <v>0</v>
      </c>
      <c r="D9" s="161" t="n">
        <v>0</v>
      </c>
      <c r="E9" s="161" t="n">
        <v>0</v>
      </c>
      <c r="F9" s="161" t="n">
        <v>0</v>
      </c>
      <c r="G9" s="161" t="n">
        <v>8987</v>
      </c>
      <c r="H9" s="161" t="n">
        <v>11901</v>
      </c>
      <c r="I9" s="161" t="n">
        <v>0</v>
      </c>
    </row>
    <row r="10" ht="15" customHeight="1" s="127">
      <c r="A10" s="132" t="inlineStr">
        <is>
          <t xml:space="preserve">  davon: Laura Jakobi</t>
        </is>
      </c>
      <c r="B10" s="161" t="n">
        <v>0</v>
      </c>
      <c r="C10" s="161" t="n">
        <v>0</v>
      </c>
      <c r="D10" s="161" t="n">
        <v>0</v>
      </c>
      <c r="E10" s="161" t="n">
        <v>0</v>
      </c>
      <c r="F10" s="161" t="n">
        <v>8337</v>
      </c>
      <c r="G10" s="161" t="n">
        <v>0</v>
      </c>
      <c r="H10" s="161" t="n">
        <v>600</v>
      </c>
      <c r="I10" s="161" t="n">
        <v>2603</v>
      </c>
    </row>
    <row r="11" ht="15" customHeight="1" s="127">
      <c r="A11" s="132" t="inlineStr">
        <is>
          <t xml:space="preserve">  davon: Sonstiges</t>
        </is>
      </c>
      <c r="B11" s="161" t="n">
        <v>15978</v>
      </c>
      <c r="C11" s="161" t="n">
        <v>15953</v>
      </c>
      <c r="D11" s="161" t="n">
        <v>70992</v>
      </c>
      <c r="E11" s="161" t="n">
        <v>43040</v>
      </c>
      <c r="F11" s="161" t="n">
        <v>30517</v>
      </c>
      <c r="G11" s="161" t="n">
        <v>24831</v>
      </c>
      <c r="H11" s="161" t="n">
        <v>6209</v>
      </c>
      <c r="I11" s="161" t="n">
        <v>23807</v>
      </c>
    </row>
    <row r="12" ht="15" customHeight="1" s="127">
      <c r="A12" s="159" t="inlineStr">
        <is>
          <t>Ausgaben (gesamt)</t>
        </is>
      </c>
      <c r="B12" s="162" t="n">
        <v>-26264</v>
      </c>
      <c r="C12" s="162" t="n">
        <v>-37059</v>
      </c>
      <c r="D12" s="162" t="n">
        <v>-115601</v>
      </c>
      <c r="E12" s="162" t="n">
        <v>-77717</v>
      </c>
      <c r="F12" s="162" t="n">
        <v>-75231</v>
      </c>
      <c r="G12" s="162" t="n">
        <v>-118226</v>
      </c>
      <c r="H12" s="162" t="n">
        <v>-48451</v>
      </c>
      <c r="I12" s="162" t="n">
        <v>-24845</v>
      </c>
    </row>
    <row r="13" ht="15" customHeight="1" s="127">
      <c r="A13" s="132" t="inlineStr">
        <is>
          <t xml:space="preserve">  davon: Business/Wagglz</t>
        </is>
      </c>
      <c r="B13" s="161" t="n">
        <v>0</v>
      </c>
      <c r="C13" s="161" t="n">
        <v>0</v>
      </c>
      <c r="D13" s="161" t="n">
        <v>0</v>
      </c>
      <c r="E13" s="161" t="n">
        <v>0</v>
      </c>
      <c r="F13" s="161" t="n">
        <v>0</v>
      </c>
      <c r="G13" s="161" t="n">
        <v>-38053</v>
      </c>
      <c r="H13" s="161" t="n">
        <v>0</v>
      </c>
      <c r="I13" s="161" t="n">
        <v>-1900</v>
      </c>
    </row>
    <row r="14" ht="15" customHeight="1" s="127">
      <c r="A14" s="132" t="inlineStr">
        <is>
          <t xml:space="preserve">  davon: Miete &amp; Wohnen</t>
        </is>
      </c>
      <c r="B14" s="161" t="n">
        <v>0</v>
      </c>
      <c r="C14" s="161" t="n">
        <v>0</v>
      </c>
      <c r="D14" s="161" t="n">
        <v>0</v>
      </c>
      <c r="E14" s="161" t="n">
        <v>0</v>
      </c>
      <c r="F14" s="161" t="n">
        <v>-4513</v>
      </c>
      <c r="G14" s="161" t="n">
        <v>-4512</v>
      </c>
      <c r="H14" s="161" t="n">
        <v>-4512</v>
      </c>
      <c r="I14" s="161" t="n">
        <v>-4939</v>
      </c>
    </row>
    <row r="15" ht="15" customHeight="1" s="127">
      <c r="A15" s="132" t="inlineStr">
        <is>
          <t xml:space="preserve">  davon: Auto (VW-Bank)</t>
        </is>
      </c>
      <c r="B15" s="161" t="n">
        <v>0</v>
      </c>
      <c r="C15" s="161" t="n">
        <v>-3617</v>
      </c>
      <c r="D15" s="161" t="n">
        <v>-16348</v>
      </c>
      <c r="E15" s="161" t="n">
        <v>-16348</v>
      </c>
      <c r="F15" s="161" t="n">
        <v>-16349</v>
      </c>
      <c r="G15" s="161" t="n">
        <v>-16348</v>
      </c>
      <c r="H15" s="161" t="n">
        <v>-16348</v>
      </c>
      <c r="I15" s="161" t="n">
        <v>-3408</v>
      </c>
    </row>
    <row r="16" ht="15" customHeight="1" s="127">
      <c r="A16" s="132" t="inlineStr">
        <is>
          <t xml:space="preserve">  davon: Sonstiges</t>
        </is>
      </c>
      <c r="B16" s="161" t="n">
        <v>-26264</v>
      </c>
      <c r="C16" s="161" t="n">
        <v>-33442</v>
      </c>
      <c r="D16" s="161" t="n">
        <v>-99253</v>
      </c>
      <c r="E16" s="161" t="n">
        <v>-61369</v>
      </c>
      <c r="F16" s="161" t="n">
        <v>-54369</v>
      </c>
      <c r="G16" s="161" t="n">
        <v>-59313</v>
      </c>
      <c r="H16" s="161" t="n">
        <v>-27591</v>
      </c>
      <c r="I16" s="161" t="n">
        <v>-14598</v>
      </c>
    </row>
    <row r="17" ht="15" customHeight="1" s="127">
      <c r="A17" s="163" t="inlineStr">
        <is>
          <t>NETTO-CASHFLOW</t>
        </is>
      </c>
      <c r="B17" s="164" t="n">
        <v>-10286</v>
      </c>
      <c r="C17" s="164" t="n">
        <v>-21106</v>
      </c>
      <c r="D17" s="164" t="n">
        <v>-44609</v>
      </c>
      <c r="E17" s="164" t="n">
        <v>-34677</v>
      </c>
      <c r="F17" s="164" t="n">
        <v>-34226</v>
      </c>
      <c r="G17" s="165" t="n">
        <v>6758</v>
      </c>
      <c r="H17" s="164" t="n">
        <v>-21123</v>
      </c>
      <c r="I17" s="164" t="n">
        <v>4061</v>
      </c>
      <c r="J17" s="166" t="n"/>
      <c r="K17" s="166" t="n"/>
      <c r="L17" s="166" t="inlineStr">
        <is>
          <t>Wagglz-Gründung</t>
        </is>
      </c>
      <c r="M17" s="166" t="n"/>
      <c r="N17" s="166" t="n"/>
      <c r="O17" s="166" t="inlineStr">
        <is>
          <t>Krypto +66k</t>
        </is>
      </c>
      <c r="P17" s="166" t="inlineStr">
        <is>
          <t>ALG+Wagglz-Gehalt</t>
        </is>
      </c>
      <c r="Q17" s="166" t="inlineStr">
        <is>
          <t>⚠ KRISE — Doctolib-Konto fehlt</t>
        </is>
      </c>
    </row>
    <row r="18" ht="15" customHeight="1" s="127">
      <c r="A18" s="167" t="inlineStr">
        <is>
          <t>* 2026 = Jan–Mai 2026 (5 Monate). Saldo 29.05.2026: +971,67€. Apr: Doctolib-Quartalsbonus 8.249,96€. ALG II Jan 2026 war Übergangsmonat.</t>
        </is>
      </c>
    </row>
  </sheetData>
  <mergeCells count="2">
    <mergeCell ref="A1:J1"/>
    <mergeCell ref="J3:L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26" min="1" max="1"/>
    <col width="14" customWidth="1" style="126" min="2" max="5"/>
    <col width="24" customWidth="1" style="126" min="6" max="6"/>
  </cols>
  <sheetData>
    <row r="1" ht="39.75" customHeight="1" s="127">
      <c r="A1" s="157" t="inlineStr">
        <is>
          <t>EINNAHMEQUELLEN DETAIL — Consorsbank + Wagglz Finom</t>
        </is>
      </c>
    </row>
    <row r="3" ht="15" customHeight="1" s="127">
      <c r="A3" s="158" t="inlineStr">
        <is>
          <t>Einnahmequelle</t>
        </is>
      </c>
      <c r="B3" s="158" t="inlineStr">
        <is>
          <t>2024</t>
        </is>
      </c>
      <c r="C3" s="158" t="inlineStr">
        <is>
          <t>2025</t>
        </is>
      </c>
      <c r="D3" s="158" t="inlineStr">
        <is>
          <t>2026*</t>
        </is>
      </c>
      <c r="E3" s="158" t="inlineStr">
        <is>
          <t>Gesamt</t>
        </is>
      </c>
      <c r="F3" s="158" t="inlineStr">
        <is>
          <t>Quelle / Konto</t>
        </is>
      </c>
    </row>
    <row r="4" ht="15" customHeight="1" s="127">
      <c r="A4" s="129" t="inlineStr">
        <is>
          <t>━━ PRIVAT (Consorsbank) ━━</t>
        </is>
      </c>
    </row>
    <row r="5" ht="15" customHeight="1" s="127">
      <c r="A5" s="136" t="inlineStr">
        <is>
          <t>PAYWARD / Kraken (Krypto)</t>
        </is>
      </c>
      <c r="B5" s="168" t="n">
        <v>66247</v>
      </c>
      <c r="C5" s="168" t="n">
        <v>3233</v>
      </c>
      <c r="D5" s="169" t="inlineStr">
        <is>
          <t>—</t>
        </is>
      </c>
      <c r="E5" s="170">
        <f>SUM(B5:D5)</f>
        <v/>
      </c>
      <c r="F5" s="171" t="inlineStr">
        <is>
          <t>Consorsbank</t>
        </is>
      </c>
    </row>
    <row r="6" ht="15" customHeight="1" s="127">
      <c r="A6" s="132" t="inlineStr">
        <is>
          <t>Bundesagentur für Arbeit (ALG)</t>
        </is>
      </c>
      <c r="B6" s="161" t="n">
        <v>24919</v>
      </c>
      <c r="C6" s="161" t="n">
        <v>5385</v>
      </c>
      <c r="D6" s="161" t="n">
        <v>2496</v>
      </c>
      <c r="E6" s="170">
        <f>SUM(B6:D6)</f>
        <v/>
      </c>
      <c r="F6" s="172" t="inlineStr">
        <is>
          <t>Consorsbank</t>
        </is>
      </c>
    </row>
    <row r="7" ht="15" customHeight="1" s="127">
      <c r="A7" s="136" t="inlineStr">
        <is>
          <t>Wagglz GmbH → Oleg (Gehalt/Darlehn)</t>
        </is>
      </c>
      <c r="B7" s="168" t="n">
        <v>8987</v>
      </c>
      <c r="C7" s="168" t="n">
        <v>11901</v>
      </c>
      <c r="D7" s="169" t="inlineStr">
        <is>
          <t>—</t>
        </is>
      </c>
      <c r="E7" s="170">
        <f>SUM(B7:D7)</f>
        <v/>
      </c>
      <c r="F7" s="171" t="inlineStr">
        <is>
          <t>Consorsbank</t>
        </is>
      </c>
    </row>
    <row r="8" ht="15" customHeight="1" s="127">
      <c r="A8" s="132" t="inlineStr">
        <is>
          <t>Laura Jakobi (Kostenbeteiligung)</t>
        </is>
      </c>
      <c r="B8" s="173" t="inlineStr">
        <is>
          <t>—</t>
        </is>
      </c>
      <c r="C8" s="161" t="n">
        <v>600</v>
      </c>
      <c r="D8" s="173" t="inlineStr">
        <is>
          <t>—</t>
        </is>
      </c>
      <c r="F8" s="172" t="inlineStr">
        <is>
          <t>Consorsbank</t>
        </is>
      </c>
    </row>
    <row r="9" ht="15" customHeight="1" s="127">
      <c r="A9" s="136" t="inlineStr">
        <is>
          <t>PayPal Eingänge</t>
        </is>
      </c>
      <c r="B9" s="168" t="n">
        <v>3688</v>
      </c>
      <c r="C9" s="168" t="n">
        <v>1486</v>
      </c>
      <c r="D9" s="168" t="n">
        <v>1280</v>
      </c>
      <c r="E9" s="170">
        <f>SUM(B9:D9)</f>
        <v/>
      </c>
      <c r="F9" s="171" t="inlineStr">
        <is>
          <t>Consorsbank</t>
        </is>
      </c>
    </row>
    <row r="10" ht="15" customHeight="1" s="127">
      <c r="A10" s="132" t="inlineStr">
        <is>
          <t>Versicherungserstattungen</t>
        </is>
      </c>
      <c r="B10" s="161" t="n">
        <v>2471</v>
      </c>
      <c r="C10" s="161" t="n">
        <v>1007</v>
      </c>
      <c r="D10" s="161" t="n">
        <v>1097</v>
      </c>
      <c r="E10" s="170">
        <f>SUM(B10:D10)</f>
        <v/>
      </c>
      <c r="F10" s="172" t="inlineStr">
        <is>
          <t>Consorsbank</t>
        </is>
      </c>
    </row>
    <row r="11" ht="15" customHeight="1" s="127">
      <c r="A11" s="136" t="inlineStr">
        <is>
          <t>Sonstiges Privat</t>
        </is>
      </c>
      <c r="B11" s="168" t="n">
        <v>18672</v>
      </c>
      <c r="C11" s="168" t="n">
        <v>3716</v>
      </c>
      <c r="D11" s="168" t="n">
        <v>1619</v>
      </c>
      <c r="E11" s="170">
        <f>SUM(B11:D11)</f>
        <v/>
      </c>
      <c r="F11" s="171" t="inlineStr">
        <is>
          <t>Consorsbank</t>
        </is>
      </c>
    </row>
    <row r="12" ht="15" customHeight="1" s="127">
      <c r="A12" s="129" t="inlineStr">
        <is>
          <t>━━ WAGGLZ GmbH (Finom) ━━</t>
        </is>
      </c>
    </row>
    <row r="13" ht="15" customHeight="1" s="127">
      <c r="A13" s="136" t="inlineStr">
        <is>
          <t>Diana Apotheke (Beratung)</t>
        </is>
      </c>
      <c r="B13" s="168" t="n">
        <v>14280</v>
      </c>
      <c r="C13" s="168" t="n">
        <v>28560</v>
      </c>
      <c r="D13" s="169" t="inlineStr">
        <is>
          <t>—</t>
        </is>
      </c>
      <c r="E13" s="170">
        <f>SUM(B13:D13)</f>
        <v/>
      </c>
      <c r="F13" s="171" t="inlineStr">
        <is>
          <t>Wagglz Finom</t>
        </is>
      </c>
    </row>
    <row r="14" ht="15" customHeight="1" s="127">
      <c r="A14" s="132" t="inlineStr">
        <is>
          <t>Huseyin Cevik (Darlehnen/Umsatz)</t>
        </is>
      </c>
      <c r="B14" s="161" t="n">
        <v>5433</v>
      </c>
      <c r="C14" s="161" t="n">
        <v>10433</v>
      </c>
      <c r="D14" s="173" t="inlineStr">
        <is>
          <t>—</t>
        </is>
      </c>
      <c r="E14" s="170">
        <f>SUM(B14:D14)</f>
        <v/>
      </c>
      <c r="F14" s="172" t="inlineStr">
        <is>
          <t>Wagglz Finom</t>
        </is>
      </c>
    </row>
    <row r="15" ht="15" customHeight="1" s="127">
      <c r="A15" s="136" t="inlineStr">
        <is>
          <t>BAFA-Zuschüsse</t>
        </is>
      </c>
      <c r="B15" s="169" t="inlineStr">
        <is>
          <t>—</t>
        </is>
      </c>
      <c r="C15" s="168" t="n">
        <v>14000</v>
      </c>
      <c r="D15" s="169" t="inlineStr">
        <is>
          <t>—</t>
        </is>
      </c>
      <c r="F15" s="171" t="inlineStr">
        <is>
          <t>Wagglz DB</t>
        </is>
      </c>
    </row>
    <row r="16" ht="15" customHeight="1" s="127">
      <c r="A16" s="132" t="inlineStr">
        <is>
          <t>USt-Erstattung Finanzamt KW</t>
        </is>
      </c>
      <c r="B16" s="161" t="n">
        <v>4208</v>
      </c>
      <c r="C16" s="161" t="n">
        <v>2040</v>
      </c>
      <c r="D16" s="173" t="inlineStr">
        <is>
          <t>—</t>
        </is>
      </c>
      <c r="E16" s="170">
        <f>SUM(B16:D16)</f>
        <v/>
      </c>
      <c r="F16" s="172" t="inlineStr">
        <is>
          <t>Wagglz DB</t>
        </is>
      </c>
    </row>
    <row r="17" ht="15" customHeight="1" s="127">
      <c r="A17" s="136" t="inlineStr">
        <is>
          <t>Cashback Finom</t>
        </is>
      </c>
      <c r="B17" s="168" t="n">
        <v>45</v>
      </c>
      <c r="C17" s="168" t="n">
        <v>186</v>
      </c>
      <c r="D17" s="169" t="inlineStr">
        <is>
          <t>—</t>
        </is>
      </c>
      <c r="E17" s="170">
        <f>SUM(B17:D17)</f>
        <v/>
      </c>
      <c r="F17" s="171" t="inlineStr">
        <is>
          <t>Wagglz Finom</t>
        </is>
      </c>
    </row>
    <row r="18" ht="15" customHeight="1" s="127">
      <c r="A18" s="132" t="inlineStr">
        <is>
          <t>AWS EMEA (Reversal)</t>
        </is>
      </c>
      <c r="B18" s="161" t="n">
        <v>1945</v>
      </c>
      <c r="C18" s="173" t="inlineStr">
        <is>
          <t>—</t>
        </is>
      </c>
      <c r="D18" s="173" t="inlineStr">
        <is>
          <t>—</t>
        </is>
      </c>
      <c r="F18" s="172" t="inlineStr">
        <is>
          <t>Wagglz Finom</t>
        </is>
      </c>
    </row>
    <row r="19" ht="13.5" customHeight="1" s="127">
      <c r="A19" s="174" t="inlineStr">
        <is>
          <t>━━ DOCTOLIB (⚠ FEHLT) ━━</t>
        </is>
      </c>
    </row>
    <row r="20" ht="15" customHeight="1" s="127">
      <c r="A20" s="132" t="inlineStr">
        <is>
          <t>⚠ Doctolib-Gehalt (geschätzt ~4k-5k/Monat)</t>
        </is>
      </c>
      <c r="B20" s="173" t="inlineStr">
        <is>
          <t>—</t>
        </is>
      </c>
      <c r="C20" s="173" t="inlineStr">
        <is>
          <t>—</t>
        </is>
      </c>
      <c r="D20" s="175" t="inlineStr">
        <is>
          <t>FEHLT</t>
        </is>
      </c>
      <c r="F20" s="172" t="inlineStr">
        <is>
          <t>Unbekanntes DB-Konto!</t>
        </is>
      </c>
    </row>
    <row r="22" ht="15" customHeight="1" s="127">
      <c r="A22" s="176" t="inlineStr">
        <is>
          <t>2026 EINNAHMEN — KORRIGIERT (Jan–Mai, aus PDF-Auszügen)</t>
        </is>
      </c>
    </row>
    <row r="23" ht="15" customHeight="1" s="127">
      <c r="A23" s="177" t="inlineStr">
        <is>
          <t>Einnahmenquelle</t>
        </is>
      </c>
      <c r="B23" s="177" t="inlineStr">
        <is>
          <t>Jan</t>
        </is>
      </c>
      <c r="C23" s="177" t="inlineStr">
        <is>
          <t>Feb</t>
        </is>
      </c>
      <c r="D23" s="177" t="inlineStr">
        <is>
          <t>Mär</t>
        </is>
      </c>
      <c r="E23" s="177" t="inlineStr">
        <is>
          <t>Apr</t>
        </is>
      </c>
      <c r="F23" s="177" t="inlineStr">
        <is>
          <t>Mai</t>
        </is>
      </c>
      <c r="G23" s="177" t="inlineStr">
        <is>
          <t>Total Jan-Mai</t>
        </is>
      </c>
    </row>
    <row r="24" ht="15" customHeight="1" s="127">
      <c r="A24" s="178" t="inlineStr">
        <is>
          <t>Doctolib Gehalt (netto)</t>
        </is>
      </c>
      <c r="B24" s="179" t="n">
        <v>3160.4</v>
      </c>
      <c r="C24" s="179" t="n">
        <v>3638.82</v>
      </c>
      <c r="D24" s="179" t="n">
        <v>3638.82</v>
      </c>
      <c r="E24" s="179" t="n">
        <v>8249.959999999999</v>
      </c>
      <c r="F24" s="179" t="n">
        <v>3638.82</v>
      </c>
      <c r="G24" s="180">
        <f>SUM(B24:F24)</f>
        <v/>
      </c>
    </row>
    <row r="25" ht="15" customHeight="1" s="127">
      <c r="A25" s="178" t="inlineStr">
        <is>
          <t>Laura Jakobi (Fixkosten-Anteil)</t>
        </is>
      </c>
      <c r="B25" s="179" t="n">
        <v>591.6900000000001</v>
      </c>
      <c r="C25" s="179" t="n"/>
      <c r="D25" s="179" t="n">
        <v>603.6900000000001</v>
      </c>
      <c r="E25" s="179" t="n">
        <v>603.6900000000001</v>
      </c>
      <c r="F25" s="179" t="n">
        <v>603.6900000000001</v>
      </c>
      <c r="G25" s="180">
        <f>SUM(B25:F25)</f>
        <v/>
      </c>
    </row>
    <row r="26" ht="15" customHeight="1" s="127">
      <c r="A26" s="178" t="inlineStr">
        <is>
          <t>Artur Kober (Rate)</t>
        </is>
      </c>
      <c r="B26" s="179" t="n">
        <v>65.31999999999999</v>
      </c>
      <c r="C26" s="179" t="n">
        <v>65.31999999999999</v>
      </c>
      <c r="D26" s="179" t="n">
        <v>65.31999999999999</v>
      </c>
      <c r="E26" s="179" t="n">
        <v>65.31999999999999</v>
      </c>
      <c r="F26" s="179" t="n">
        <v>65.31999999999999</v>
      </c>
      <c r="G26" s="180">
        <f>SUM(B26:F26)</f>
        <v/>
      </c>
    </row>
    <row r="27" ht="15" customHeight="1" s="127">
      <c r="A27" s="178" t="inlineStr">
        <is>
          <t>Doctolib Spesen/Erstattung</t>
        </is>
      </c>
      <c r="B27" s="179" t="n"/>
      <c r="C27" s="179" t="n"/>
      <c r="D27" s="179" t="n">
        <v>54.36</v>
      </c>
      <c r="E27" s="179" t="n">
        <v>63.49</v>
      </c>
      <c r="F27" s="179" t="n"/>
      <c r="G27" s="180">
        <f>SUM(B27:F27)</f>
        <v/>
      </c>
    </row>
    <row r="28" ht="15" customHeight="1" s="127">
      <c r="A28" s="178" t="inlineStr">
        <is>
          <t>Sonstige (Überweisungen, Gutschriften)</t>
        </is>
      </c>
      <c r="B28" s="179" t="n">
        <v>1731.76</v>
      </c>
      <c r="C28" s="179" t="n">
        <v>964.54</v>
      </c>
      <c r="D28" s="179" t="n">
        <v>1178.08</v>
      </c>
      <c r="E28" s="179" t="n">
        <v>252.26</v>
      </c>
      <c r="F28" s="179" t="n">
        <v>1590.91</v>
      </c>
      <c r="G28" s="180">
        <f>SUM(B28:F28)</f>
        <v/>
      </c>
    </row>
    <row r="29" ht="15" customHeight="1" s="127">
      <c r="A29" s="178" t="inlineStr">
        <is>
          <t>TOTAL EINNAHMEN (Monat)</t>
        </is>
      </c>
      <c r="B29" s="181">
        <f>SUM(B24:B28)</f>
        <v/>
      </c>
      <c r="C29" s="181">
        <f>SUM(C24:C28)</f>
        <v/>
      </c>
      <c r="D29" s="181">
        <f>SUM(D24:D28)</f>
        <v/>
      </c>
      <c r="E29" s="181">
        <f>SUM(E24:E28)</f>
        <v/>
      </c>
      <c r="F29" s="181">
        <f>SUM(F24:F28)</f>
        <v/>
      </c>
      <c r="G29" s="181">
        <f>SUM(B29:F29)</f>
        <v/>
      </c>
    </row>
    <row r="31" ht="15" customHeight="1" s="127">
      <c r="A31" s="176" t="inlineStr">
        <is>
          <t>2026 AUSGABEN — MONATSÜBERSICHT (Jan–Mai)</t>
        </is>
      </c>
    </row>
    <row r="32" ht="15" customHeight="1" s="127">
      <c r="A32" s="182" t="inlineStr">
        <is>
          <t>Monat</t>
        </is>
      </c>
      <c r="B32" s="182" t="inlineStr">
        <is>
          <t>Einnahmen (IN)</t>
        </is>
      </c>
      <c r="C32" s="182" t="inlineStr">
        <is>
          <t>Ausgaben (OUT)</t>
        </is>
      </c>
      <c r="D32" s="182" t="inlineStr">
        <is>
          <t>Netto</t>
        </is>
      </c>
    </row>
    <row r="33" ht="15" customHeight="1" s="127">
      <c r="A33" s="183" t="inlineStr">
        <is>
          <t>Januar 2026</t>
        </is>
      </c>
      <c r="B33" s="179" t="n">
        <v>7548.17</v>
      </c>
      <c r="C33" s="179" t="n">
        <v>-4671.23</v>
      </c>
      <c r="D33" s="184" t="n">
        <v>2876.94</v>
      </c>
    </row>
    <row r="34" ht="15" customHeight="1" s="127">
      <c r="A34" s="183" t="inlineStr">
        <is>
          <t>Februar 2026</t>
        </is>
      </c>
      <c r="B34" s="179" t="n">
        <v>4668.68</v>
      </c>
      <c r="C34" s="179" t="n">
        <v>-3845.95</v>
      </c>
      <c r="D34" s="184" t="n">
        <v>822.730000000001</v>
      </c>
    </row>
    <row r="35" ht="15" customHeight="1" s="127">
      <c r="A35" s="183" t="inlineStr">
        <is>
          <t>März 2026</t>
        </is>
      </c>
      <c r="B35" s="179" t="n">
        <v>5540.27</v>
      </c>
      <c r="C35" s="179" t="n">
        <v>-6735.19</v>
      </c>
      <c r="D35" s="185" t="n">
        <v>-1194.92</v>
      </c>
    </row>
    <row r="36" ht="15" customHeight="1" s="127">
      <c r="A36" s="183" t="inlineStr">
        <is>
          <t>April 2026</t>
        </is>
      </c>
      <c r="B36" s="179" t="n">
        <v>9034.76</v>
      </c>
      <c r="C36" s="179" t="n">
        <v>-5070.38</v>
      </c>
      <c r="D36" s="184" t="n">
        <v>3964.38</v>
      </c>
    </row>
    <row r="37" ht="15" customHeight="1" s="127">
      <c r="A37" s="183" t="inlineStr">
        <is>
          <t>Mai 2026</t>
        </is>
      </c>
      <c r="B37" s="179" t="n">
        <v>3896.92</v>
      </c>
      <c r="C37" s="179" t="n">
        <v>-6305.43</v>
      </c>
      <c r="D37" s="185" t="n">
        <v>-2408.51</v>
      </c>
    </row>
    <row r="38" ht="15" customHeight="1" s="127">
      <c r="A38" s="186" t="inlineStr">
        <is>
          <t>TOTAL Jan–Mai 2026</t>
        </is>
      </c>
      <c r="B38" s="181" t="n">
        <v>30688.8</v>
      </c>
      <c r="C38" s="181" t="n">
        <v>-26628.18</v>
      </c>
      <c r="D38" s="184" t="n">
        <v>4060.62</v>
      </c>
    </row>
    <row r="40" ht="15" customHeight="1" s="127">
      <c r="A40" s="187" t="inlineStr">
        <is>
          <t>⚠ KORREKTUR: Vorherige Analyse zeigte -33.218€ Defizit — war Datenfehler (2026-PDFs fehlten im CSV-Export). Tatsächliches Netto Jan-Mai: +4.063€</t>
        </is>
      </c>
    </row>
  </sheetData>
  <mergeCells count="7">
    <mergeCell ref="A40:G40"/>
    <mergeCell ref="A19:F19"/>
    <mergeCell ref="A31:G31"/>
    <mergeCell ref="A1:F1"/>
    <mergeCell ref="A12:F12"/>
    <mergeCell ref="A4:F4"/>
    <mergeCell ref="A22:E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126" min="1" max="1"/>
    <col width="15" customWidth="1" style="126" min="2" max="3"/>
    <col width="15" customWidth="1" style="127" min="3" max="3"/>
    <col width="15" customWidth="1" style="126" min="4" max="4"/>
    <col width="42" customWidth="1" style="126" min="5" max="5"/>
  </cols>
  <sheetData>
    <row r="1" ht="24" customHeight="1" s="127">
      <c r="A1" s="188" t="inlineStr">
        <is>
          <t>WAGGLZ GmbH — Offizielle P&amp;L 2024–2026 (DATEV-verifiziert)</t>
        </is>
      </c>
    </row>
    <row r="2">
      <c r="A2" s="189" t="inlineStr">
        <is>
          <t>Quellen: Jahresabschluss 2024 (DATEV/SP Steuerberatung), BWA 2025, Deutsche Bank-Auszüge Kto 701315418400</t>
        </is>
      </c>
    </row>
    <row r="3" ht="15" customHeight="1" s="127"/>
    <row r="4" ht="28" customHeight="1" s="127">
      <c r="A4" s="190" t="inlineStr">
        <is>
          <t>Position</t>
        </is>
      </c>
    </row>
    <row r="5" ht="18" customHeight="1" s="127">
      <c r="A5" s="192" t="inlineStr">
        <is>
          <t>━━ EINNAHMEN &amp; ERTRÄGE ━━</t>
        </is>
      </c>
      <c r="B5" s="193" t="inlineStr"/>
      <c r="C5" s="193" t="inlineStr"/>
      <c r="D5" s="193" t="inlineStr"/>
      <c r="E5" s="192" t="inlineStr"/>
    </row>
    <row r="6" ht="18" customHeight="1" s="127">
      <c r="A6" s="194" t="inlineStr">
        <is>
          <t>Umsatzerlöse netto (Kto 4400)</t>
        </is>
      </c>
      <c r="B6" s="195" t="n">
        <v>0</v>
      </c>
      <c r="C6" s="195" t="n">
        <v>16000</v>
      </c>
      <c r="D6" s="195" t="n">
        <v>0</v>
      </c>
      <c r="E6" s="196" t="inlineStr">
        <is>
          <t>BWA 2025: Client-Revenue; 2024: Gründungsjahr, 0€</t>
        </is>
      </c>
    </row>
    <row r="7" ht="18" customHeight="1" s="127">
      <c r="A7" s="194" t="inlineStr">
        <is>
          <t>Förderungen/Erstattungen (Kto 4989)</t>
        </is>
      </c>
      <c r="B7" s="195" t="n">
        <v>0</v>
      </c>
      <c r="C7" s="195" t="n">
        <v>5600</v>
      </c>
      <c r="D7" s="195" t="n">
        <v>0</v>
      </c>
      <c r="E7" s="196" t="inlineStr">
        <is>
          <t>Bundeskasse Trier 2×2.800€ (BAFA o.ä.)</t>
        </is>
      </c>
    </row>
    <row r="8" ht="18" customHeight="1" s="127">
      <c r="A8" s="194" t="inlineStr">
        <is>
          <t>USt-Erstattungen Finanzamt KW</t>
        </is>
      </c>
      <c r="B8" s="195" t="n">
        <v>4209</v>
      </c>
      <c r="C8" s="195" t="n">
        <v>4167</v>
      </c>
      <c r="D8" s="195" t="n">
        <v>807</v>
      </c>
      <c r="E8" s="196" t="inlineStr">
        <is>
          <t>DB-Buchungen FA Königs Wusterhausen</t>
        </is>
      </c>
    </row>
    <row r="9" ht="18" customHeight="1" s="127">
      <c r="A9" s="194" t="inlineStr">
        <is>
          <t>Sonstige betriebliche Erträge</t>
        </is>
      </c>
      <c r="B9" s="195" t="n">
        <v>64</v>
      </c>
      <c r="C9" s="195" t="n">
        <v>198</v>
      </c>
      <c r="D9" s="195" t="n">
        <v>0</v>
      </c>
      <c r="E9" s="196" t="inlineStr">
        <is>
          <t>JA 2024: 63,77€; BWA 2025: 198,15€</t>
        </is>
      </c>
    </row>
    <row r="10" ht="18" customHeight="1" s="127">
      <c r="A10" s="197" t="inlineStr">
        <is>
          <t>GESAMTLEISTUNG (inkl. USt-Erstattg.)</t>
        </is>
      </c>
      <c r="B10" s="198" t="n">
        <v>4273</v>
      </c>
      <c r="C10" s="198" t="n">
        <v>25965</v>
      </c>
      <c r="D10" s="198" t="n">
        <v>807</v>
      </c>
      <c r="E10" s="197" t="inlineStr"/>
    </row>
    <row r="11" ht="15" customHeight="1" s="127"/>
    <row r="12" ht="15" customHeight="1" s="127">
      <c r="A12" s="190" t="inlineStr">
        <is>
          <t>━━ AUFWENDUNGEN ━━</t>
        </is>
      </c>
    </row>
    <row r="13" ht="18" customHeight="1" s="127">
      <c r="A13" s="199" t="inlineStr">
        <is>
          <t>Personalkosten (Gehälter Kto 6020)</t>
        </is>
      </c>
      <c r="B13" s="195" t="n">
        <v>0</v>
      </c>
      <c r="C13" s="195" t="n">
        <v>-403</v>
      </c>
      <c r="D13" s="195" t="n">
        <v>0</v>
      </c>
      <c r="E13" s="196" t="inlineStr">
        <is>
          <t>BWA 2025: 402,71€; 2024 kein Angestellter</t>
        </is>
      </c>
    </row>
    <row r="14" ht="18" customHeight="1" s="127">
      <c r="A14" s="199" t="inlineStr">
        <is>
          <t>Fremdleistungen Vertrieb (Kto 6780)</t>
        </is>
      </c>
      <c r="B14" s="195" t="n">
        <v>-6090</v>
      </c>
      <c r="C14" s="195" t="n">
        <v>-375</v>
      </c>
      <c r="D14" s="195" t="n">
        <v>0</v>
      </c>
      <c r="E14" s="196" t="inlineStr">
        <is>
          <t>JA: 6.090€; BWA: 375€</t>
        </is>
      </c>
    </row>
    <row r="15" ht="18" customHeight="1" s="127">
      <c r="A15" s="199" t="inlineStr">
        <is>
          <t>Fremdleistungen Administrativ (Kto 6303)</t>
        </is>
      </c>
      <c r="B15" s="195" t="n">
        <v>-5388</v>
      </c>
      <c r="C15" s="195" t="n">
        <v>-5098</v>
      </c>
      <c r="D15" s="195" t="n">
        <v>0</v>
      </c>
      <c r="E15" s="196" t="inlineStr">
        <is>
          <t>summaconsult, BuchhaltungsButler, extern</t>
        </is>
      </c>
    </row>
    <row r="16" ht="18" customHeight="1" s="127">
      <c r="A16" s="199" t="inlineStr">
        <is>
          <t>Werbe-/Repräsentationskosten</t>
        </is>
      </c>
      <c r="B16" s="195" t="n">
        <v>-32</v>
      </c>
      <c r="C16" s="195" t="n">
        <v>-17</v>
      </c>
      <c r="D16" s="195" t="n">
        <v>0</v>
      </c>
      <c r="E16" s="196" t="inlineStr">
        <is>
          <t>JA: 31,60€; BWA: 16,72€</t>
        </is>
      </c>
    </row>
    <row r="17" ht="18" customHeight="1" s="127">
      <c r="A17" s="199" t="inlineStr">
        <is>
          <t>Bewirtungskosten (Kto 6640)</t>
        </is>
      </c>
      <c r="B17" s="195" t="n">
        <v>-1438</v>
      </c>
      <c r="C17" s="195" t="n">
        <v>-1375</v>
      </c>
      <c r="D17" s="195" t="n">
        <v>0</v>
      </c>
      <c r="E17" s="196" t="inlineStr">
        <is>
          <t>JA 2024 inkl. 431,47€ nicht abzugsfähig</t>
        </is>
      </c>
    </row>
    <row r="18" ht="18" customHeight="1" s="127">
      <c r="A18" s="199" t="inlineStr">
        <is>
          <t>Reisekosten</t>
        </is>
      </c>
      <c r="B18" s="195" t="n">
        <v>-96</v>
      </c>
      <c r="C18" s="195" t="n">
        <v>-53</v>
      </c>
      <c r="D18" s="195" t="n">
        <v>0</v>
      </c>
      <c r="E18" s="196" t="inlineStr">
        <is>
          <t>JA: 95,69€; BWA: 53,30€</t>
        </is>
      </c>
    </row>
    <row r="19" ht="18" customHeight="1" s="127">
      <c r="A19" s="199" t="inlineStr">
        <is>
          <t>Raumkosten / Büromiete</t>
        </is>
      </c>
      <c r="B19" s="195" t="n">
        <v>-744</v>
      </c>
      <c r="C19" s="195" t="n">
        <v>-720</v>
      </c>
      <c r="D19" s="195" t="n">
        <v>0</v>
      </c>
      <c r="E19" s="196" t="inlineStr">
        <is>
          <t>WestX Schönefeld ~60€/Monat</t>
        </is>
      </c>
    </row>
    <row r="20" ht="18" customHeight="1" s="127">
      <c r="A20" s="199" t="inlineStr">
        <is>
          <t>Kfz-Kosten (Fremdfahrzeuge)</t>
        </is>
      </c>
      <c r="B20" s="195" t="n">
        <v>-1101</v>
      </c>
      <c r="C20" s="195" t="n">
        <v>-1565</v>
      </c>
      <c r="D20" s="195" t="n">
        <v>0</v>
      </c>
      <c r="E20" s="196" t="inlineStr">
        <is>
          <t>JA: 1.101€; BWA: 1.564€</t>
        </is>
      </c>
    </row>
    <row r="21" ht="18" customHeight="1" s="127">
      <c r="A21" s="199" t="inlineStr">
        <is>
          <t>Versicherungen &amp; Beiträge</t>
        </is>
      </c>
      <c r="B21" s="195" t="n">
        <v>-986</v>
      </c>
      <c r="C21" s="195" t="n">
        <v>-835</v>
      </c>
      <c r="D21" s="195" t="n">
        <v>0</v>
      </c>
      <c r="E21" s="196" t="inlineStr">
        <is>
          <t>ARAG, IHK etc.</t>
        </is>
      </c>
    </row>
    <row r="22" ht="18" customHeight="1" s="127">
      <c r="A22" s="199" t="inlineStr">
        <is>
          <t>Rechts- &amp; Beratungskosten (Kto 6825)</t>
        </is>
      </c>
      <c r="B22" s="195" t="n">
        <v>-17000</v>
      </c>
      <c r="C22" s="195" t="n">
        <v>-1186</v>
      </c>
      <c r="D22" s="195" t="n">
        <v>0</v>
      </c>
      <c r="E22" s="196" t="inlineStr">
        <is>
          <t>JA 2024: 17.000€ Gründungskosten + Dunkel!</t>
        </is>
      </c>
    </row>
    <row r="23" ht="18" customHeight="1" s="127">
      <c r="A23" s="199" t="inlineStr">
        <is>
          <t>Buchführungskosten</t>
        </is>
      </c>
      <c r="B23" s="195" t="n">
        <v>-109</v>
      </c>
      <c r="C23" s="195" t="n">
        <v>-329</v>
      </c>
      <c r="D23" s="195" t="n">
        <v>0</v>
      </c>
      <c r="E23" s="196" t="inlineStr">
        <is>
          <t>SP Steuerberatungsges.</t>
        </is>
      </c>
    </row>
    <row r="24" ht="18" customHeight="1" s="127">
      <c r="A24" s="199" t="inlineStr">
        <is>
          <t>Softwarekosten SaaS (Kto 6837)</t>
        </is>
      </c>
      <c r="B24" s="195" t="n">
        <v>-2956</v>
      </c>
      <c r="C24" s="195" t="n">
        <v>-2407</v>
      </c>
      <c r="D24" s="195" t="n">
        <v>0</v>
      </c>
      <c r="E24" s="196" t="inlineStr">
        <is>
          <t>AWS, GoDaddy, OpenAI, Asana, Microsoft</t>
        </is>
      </c>
    </row>
    <row r="25" ht="18" customHeight="1" s="127">
      <c r="A25" s="199" t="inlineStr">
        <is>
          <t>Telefon (Kto 6805)</t>
        </is>
      </c>
      <c r="B25" s="195" t="n">
        <v>-301</v>
      </c>
      <c r="C25" s="195" t="n">
        <v>-1091</v>
      </c>
      <c r="D25" s="195" t="n">
        <v>0</v>
      </c>
      <c r="E25" s="196" t="inlineStr">
        <is>
          <t>inkl. Telekom Mobilfunk Wagglz</t>
        </is>
      </c>
    </row>
    <row r="26" ht="18" customHeight="1" s="127">
      <c r="A26" s="199" t="inlineStr">
        <is>
          <t>Internetkosten (Kto 6810)</t>
        </is>
      </c>
      <c r="B26" s="195" t="n">
        <v>-460</v>
      </c>
      <c r="C26" s="195" t="n">
        <v>-256</v>
      </c>
      <c r="D26" s="195" t="n">
        <v>0</v>
      </c>
      <c r="E26" s="196" t="inlineStr"/>
    </row>
    <row r="27" ht="18" customHeight="1" s="127">
      <c r="A27" s="199" t="inlineStr">
        <is>
          <t>Abschreibungen GWG</t>
        </is>
      </c>
      <c r="B27" s="195" t="n">
        <v>-755</v>
      </c>
      <c r="C27" s="195" t="n">
        <v>0</v>
      </c>
      <c r="D27" s="195" t="n">
        <v>0</v>
      </c>
      <c r="E27" s="196" t="inlineStr">
        <is>
          <t>Sofortabschreibung 2024</t>
        </is>
      </c>
    </row>
    <row r="28" ht="18" customHeight="1" s="127">
      <c r="A28" s="199" t="inlineStr">
        <is>
          <t>Nebenkosten Geldverkehr (Kto 6855)</t>
        </is>
      </c>
      <c r="B28" s="195" t="n">
        <v>-311</v>
      </c>
      <c r="C28" s="195" t="n">
        <v>-366</v>
      </c>
      <c r="D28" s="195" t="n">
        <v>-69</v>
      </c>
      <c r="E28" s="196" t="inlineStr">
        <is>
          <t>Bankgebühren DB + Finom</t>
        </is>
      </c>
    </row>
    <row r="29" ht="18" customHeight="1" s="127">
      <c r="A29" s="199" t="inlineStr">
        <is>
          <t>Sonstige betriebliche Aufwendungen</t>
        </is>
      </c>
      <c r="B29" s="195" t="n">
        <v>-509</v>
      </c>
      <c r="C29" s="195" t="n">
        <v>-760</v>
      </c>
      <c r="D29" s="195" t="n">
        <v>0</v>
      </c>
      <c r="E29" s="196" t="inlineStr">
        <is>
          <t>Kto 6300/6850/6880; Währungsdifferenzen</t>
        </is>
      </c>
    </row>
    <row r="30" ht="15" customHeight="1" s="127">
      <c r="A30" s="199" t="inlineStr">
        <is>
          <t>Zinsen Gesellschafterdarlehen (Kto 7316)</t>
        </is>
      </c>
    </row>
    <row r="31" ht="15" customHeight="1" s="127">
      <c r="A31" s="197" t="inlineStr">
        <is>
          <t>GESAMTKOSTEN (lt. JA/BWA)</t>
        </is>
      </c>
    </row>
    <row r="32" ht="18" customHeight="1" s="127"/>
    <row r="33" ht="18" customHeight="1" s="127">
      <c r="A33" s="190" t="inlineStr">
        <is>
          <t>━━ JAHRESERGEBNIS ━━</t>
        </is>
      </c>
      <c r="B33" s="191" t="inlineStr"/>
      <c r="C33" s="191" t="inlineStr"/>
      <c r="D33" s="191" t="inlineStr"/>
      <c r="E33" s="190" t="inlineStr"/>
    </row>
    <row r="34">
      <c r="A34" s="200" t="inlineStr">
        <is>
          <t>JAHRESFEHLBETRAG (OFFIZIELL)</t>
        </is>
      </c>
      <c r="B34" s="201" t="n">
        <v>-40427</v>
      </c>
      <c r="C34" s="201" t="n">
        <v>-10957</v>
      </c>
      <c r="D34" s="202" t="n"/>
      <c r="E34" s="203" t="inlineStr">
        <is>
          <t>JA 2024: -40.426,89€ (DATEV-bestätigt); BWA 2025: -10.956,60€</t>
        </is>
      </c>
    </row>
    <row r="35">
      <c r="A35" s="200" t="inlineStr">
        <is>
          <t>Kumulierter Verlustvortrag</t>
        </is>
      </c>
      <c r="B35" s="201" t="n">
        <v>-40427</v>
      </c>
      <c r="C35" s="201" t="n">
        <v>-51384</v>
      </c>
      <c r="D35" s="202" t="n"/>
      <c r="E35" s="203" t="inlineStr">
        <is>
          <t>31.12.2024 per JA; 31.12.2025 Hochrechnung</t>
        </is>
      </c>
    </row>
    <row r="37">
      <c r="A37" s="204" t="inlineStr">
        <is>
          <t>━━ BILANZ-SNAPSHOT 31.12.2024 (Jahresabschluss DATEV) ━━</t>
        </is>
      </c>
      <c r="B37" s="205" t="inlineStr"/>
      <c r="C37" s="205" t="inlineStr"/>
      <c r="D37" s="205" t="inlineStr"/>
      <c r="E37" s="204" t="inlineStr"/>
    </row>
    <row r="38">
      <c r="A38" s="206" t="inlineStr">
        <is>
          <t>Kassenbestand (DB: 586€ + Finom: 1.802€)</t>
        </is>
      </c>
      <c r="B38" s="207" t="n">
        <v>2388</v>
      </c>
      <c r="C38" s="208" t="n"/>
      <c r="D38" s="208" t="n"/>
      <c r="E38" s="196" t="inlineStr">
        <is>
          <t>Liquide Mittel zum Jahresende</t>
        </is>
      </c>
    </row>
    <row r="39">
      <c r="A39" s="206" t="inlineStr">
        <is>
          <t>Forderungen (Vorsteuerguthaben)</t>
        </is>
      </c>
      <c r="B39" s="207" t="n">
        <v>1711</v>
      </c>
      <c r="C39" s="208" t="n"/>
      <c r="D39" s="208" t="n"/>
      <c r="E39" s="196" t="inlineStr">
        <is>
          <t>USt-Erstattungsanspruch</t>
        </is>
      </c>
    </row>
    <row r="40">
      <c r="A40" s="209" t="inlineStr">
        <is>
          <t>Verbindlichkeiten gg. Gesellschafter</t>
        </is>
      </c>
      <c r="B40" s="210" t="n">
        <v>-29397</v>
      </c>
      <c r="C40" s="208" t="n"/>
      <c r="D40" s="208" t="n"/>
      <c r="E40" s="196">
        <f> Gesellschafterdarlehen Oleg → Wagglz</f>
        <v/>
      </c>
    </row>
    <row r="41">
      <c r="A41" s="206" t="inlineStr">
        <is>
          <t>Stammkapital (eingefordert)</t>
        </is>
      </c>
      <c r="B41" s="207" t="n">
        <v>12500</v>
      </c>
      <c r="C41" s="208" t="n"/>
      <c r="D41" s="208" t="n"/>
      <c r="E41" s="196" t="inlineStr">
        <is>
          <t>12.500€ von 25.000€ Stammkapital</t>
        </is>
      </c>
    </row>
    <row r="42">
      <c r="A42" s="209" t="inlineStr">
        <is>
          <t>Nicht gedeckter Fehlbetrag (Überschuldung)</t>
        </is>
      </c>
      <c r="B42" s="210" t="n">
        <v>-27927</v>
      </c>
      <c r="C42" s="208" t="n"/>
      <c r="D42" s="208" t="n"/>
      <c r="E42" s="196" t="inlineStr">
        <is>
          <t>⚠ Rangrücktritt erforderlich um Insolvenz zu vermeiden</t>
        </is>
      </c>
    </row>
    <row r="44">
      <c r="A44" s="211" t="inlineStr">
        <is>
          <t>━━ §17 EStG — VERLUSTPOTENZIAL BEI LIQUIDATION ━━</t>
        </is>
      </c>
      <c r="B44" s="212" t="inlineStr"/>
      <c r="C44" s="212" t="inlineStr"/>
      <c r="D44" s="212" t="inlineStr"/>
      <c r="E44" s="211" t="inlineStr"/>
    </row>
    <row r="45">
      <c r="A45" s="213" t="inlineStr">
        <is>
          <t>Eingezahltes Stammkapital</t>
        </is>
      </c>
      <c r="B45" s="214" t="n">
        <v>12500</v>
      </c>
      <c r="C45" s="208" t="n"/>
      <c r="D45" s="208" t="n"/>
      <c r="E45" s="196" t="inlineStr">
        <is>
          <t>§17 Abs. 1 EStG — Anschaffungskosten Anteil</t>
        </is>
      </c>
    </row>
    <row r="46">
      <c r="A46" s="213" t="inlineStr">
        <is>
          <t>Gesellschafterdarlehen (nachrangig/§17 Abs. 2a)</t>
        </is>
      </c>
      <c r="B46" s="214" t="n">
        <v>29397</v>
      </c>
      <c r="C46" s="208" t="n"/>
      <c r="D46" s="208" t="n"/>
      <c r="E46" s="196" t="inlineStr">
        <is>
          <t>NUR wenn vor Krise hingegeben (→ Anwalt klären!)</t>
        </is>
      </c>
    </row>
    <row r="47">
      <c r="A47" s="213" t="inlineStr">
        <is>
          <t>Potenzielle Verlustbasis (brutto)</t>
        </is>
      </c>
      <c r="B47" s="214" t="n">
        <v>41897</v>
      </c>
      <c r="C47" s="208" t="n"/>
      <c r="D47" s="208" t="n"/>
      <c r="E47" s="196" t="inlineStr"/>
    </row>
    <row r="48">
      <c r="A48" s="213" t="inlineStr">
        <is>
          <t>Ansetzbar 60% (Teileinkünfteverfahren)</t>
        </is>
      </c>
      <c r="B48" s="214" t="n">
        <v>25138</v>
      </c>
      <c r="C48" s="208" t="n"/>
      <c r="D48" s="208" t="n"/>
      <c r="E48" s="196" t="inlineStr">
        <is>
          <t>§ 3 Nr. 40c EStG</t>
        </is>
      </c>
    </row>
    <row r="49">
      <c r="A49" s="213" t="inlineStr">
        <is>
          <t>Steuerersparnis ca. (bei ~42% Grenzsteuersatz)</t>
        </is>
      </c>
      <c r="B49" s="214" t="n">
        <v>10558</v>
      </c>
      <c r="C49" s="208" t="n"/>
      <c r="D49" s="208" t="n"/>
      <c r="E49" s="196" t="inlineStr">
        <is>
          <t>⚠ Grobe Schätzung — abhängig von Einkommenssituation</t>
        </is>
      </c>
    </row>
    <row r="51">
      <c r="A51" s="190" t="inlineStr">
        <is>
          <t>━━ OK CAPITAL UG — DB Kto 701315419200 ━━</t>
        </is>
      </c>
      <c r="B51" s="191" t="inlineStr"/>
      <c r="C51" s="191" t="inlineStr"/>
      <c r="D51" s="191" t="inlineStr"/>
      <c r="E51" s="190" t="inlineStr"/>
    </row>
    <row r="52">
      <c r="A52" s="215" t="inlineStr">
        <is>
          <t>Umsatz</t>
        </is>
      </c>
      <c r="B52" s="216" t="n">
        <v>0</v>
      </c>
      <c r="C52" s="216" t="n">
        <v>0</v>
      </c>
      <c r="D52" s="216" t="n">
        <v>0</v>
      </c>
      <c r="E52" s="217" t="inlineStr">
        <is>
          <t>VOLLSTÄNDIG INAKTIV — kein Umsatz seit Gründung</t>
        </is>
      </c>
    </row>
    <row r="53">
      <c r="A53" s="215" t="inlineStr">
        <is>
          <t>Ausgaben (Kontogebühren + Porto)</t>
        </is>
      </c>
      <c r="B53" s="216" t="n">
        <v>-94</v>
      </c>
      <c r="C53" s="216" t="n">
        <v>-376</v>
      </c>
      <c r="D53" s="216" t="n">
        <v>-45</v>
      </c>
      <c r="E53" s="217" t="inlineStr">
        <is>
          <t>~38-45€/Quartal Abschlussgebühr; 0,85-0,95€/Mon Porto</t>
        </is>
      </c>
    </row>
    <row r="54">
      <c r="A54" s="215" t="inlineStr">
        <is>
          <t>Transfer an Wagglz</t>
        </is>
      </c>
      <c r="B54" s="216" t="n">
        <v>0</v>
      </c>
      <c r="C54" s="216" t="n">
        <v>-200</v>
      </c>
      <c r="D54" s="216" t="n">
        <v>0</v>
      </c>
      <c r="E54" s="217" t="inlineStr">
        <is>
          <t>08.07.2025: 200€ SEPA-Überweisung an Wagglz DB</t>
        </is>
      </c>
    </row>
    <row r="55">
      <c r="A55" s="215" t="inlineStr">
        <is>
          <t>EMPFEHLUNG</t>
        </is>
      </c>
      <c r="B55" s="218" t="inlineStr">
        <is>
          <t>→ KONTO SCHLIESSEN</t>
        </is>
      </c>
      <c r="C55" s="218" t="inlineStr">
        <is>
          <t>→ KONTO SCHLIESSEN</t>
        </is>
      </c>
      <c r="D55" s="218" t="inlineStr"/>
      <c r="E55" s="217" t="inlineStr">
        <is>
          <t>Kosten ohne Gegenwert; ca. 420€/Jahr für nichts</t>
        </is>
      </c>
    </row>
  </sheetData>
  <mergeCells count="7">
    <mergeCell ref="A30:E30"/>
    <mergeCell ref="A12:E12"/>
    <mergeCell ref="A4:E4"/>
    <mergeCell ref="A2:E2"/>
    <mergeCell ref="A11:E11"/>
    <mergeCell ref="A1:E1"/>
    <mergeCell ref="A31:E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126" min="1" max="1"/>
    <col width="14" customWidth="1" style="126" min="2" max="5"/>
    <col width="20" customWidth="1" style="126" min="6" max="6"/>
  </cols>
  <sheetData>
    <row r="1" ht="39.75" customHeight="1" s="127">
      <c r="A1" s="157" t="inlineStr">
        <is>
          <t>MONATLICHE AUSGABEN — PRIVAT (∅ je Jahr, Consorsbank)</t>
        </is>
      </c>
    </row>
    <row r="3" ht="26.25" customHeight="1" s="127">
      <c r="A3" s="158" t="inlineStr">
        <is>
          <t>Kategorie</t>
        </is>
      </c>
      <c r="B3" s="158" t="inlineStr">
        <is>
          <t>∅/Monat 2023</t>
        </is>
      </c>
      <c r="C3" s="158" t="inlineStr">
        <is>
          <t>∅/Monat 2024</t>
        </is>
      </c>
      <c r="D3" s="158" t="inlineStr">
        <is>
          <t>∅/Monat 2025</t>
        </is>
      </c>
      <c r="E3" s="158" t="inlineStr">
        <is>
          <t>∅/Monat 2026</t>
        </is>
      </c>
      <c r="F3" s="158" t="inlineStr">
        <is>
          <t>Kommentar</t>
        </is>
      </c>
    </row>
    <row r="4" ht="21.75" customHeight="1" s="127">
      <c r="A4" s="136" t="inlineStr">
        <is>
          <t>Miete (GSW Immobilien)</t>
        </is>
      </c>
      <c r="B4" s="168" t="n">
        <v>376</v>
      </c>
      <c r="C4" s="168" t="n">
        <v>376</v>
      </c>
      <c r="D4" s="168" t="n">
        <v>376</v>
      </c>
      <c r="E4" s="168" t="n">
        <v>791</v>
      </c>
      <c r="F4" s="219" t="inlineStr">
        <is>
          <t>2024/25: Kaltmiete; 2026: unklar warum doppelt?</t>
        </is>
      </c>
    </row>
    <row r="5" ht="21.75" customHeight="1" s="127">
      <c r="A5" s="132" t="inlineStr">
        <is>
          <t>VW-Bank Kredit</t>
        </is>
      </c>
      <c r="B5" s="161" t="n">
        <v>1362</v>
      </c>
      <c r="C5" s="161" t="n">
        <v>1362</v>
      </c>
      <c r="D5" s="161" t="n">
        <v>1362</v>
      </c>
      <c r="E5" s="161" t="n">
        <v>1091</v>
      </c>
      <c r="F5" s="220" t="inlineStr">
        <is>
          <t>Kein Auto — persönlicher Kredit</t>
        </is>
      </c>
    </row>
    <row r="6" ht="15" customHeight="1" s="127">
      <c r="A6" s="136" t="inlineStr">
        <is>
          <t>Lebensmittel (REWE/Edeka)</t>
        </is>
      </c>
      <c r="B6" s="168" t="n">
        <v>407</v>
      </c>
      <c r="C6" s="168" t="n">
        <v>400</v>
      </c>
      <c r="D6" s="168" t="n">
        <v>400</v>
      </c>
      <c r="E6" s="168" t="n">
        <v>487</v>
      </c>
      <c r="F6" s="219" t="inlineStr">
        <is>
          <t>Tendenz steigend</t>
        </is>
      </c>
    </row>
    <row r="7" ht="15" customHeight="1" s="127">
      <c r="A7" s="132" t="inlineStr">
        <is>
          <t>Restaurants &amp; Bars</t>
        </is>
      </c>
      <c r="B7" s="161" t="n">
        <v>238</v>
      </c>
      <c r="C7" s="161" t="n">
        <v>238</v>
      </c>
      <c r="D7" s="161" t="n">
        <v>200</v>
      </c>
      <c r="E7" s="161" t="n">
        <v>180</v>
      </c>
      <c r="F7" s="220" t="n"/>
    </row>
    <row r="8" ht="21.75" customHeight="1" s="127">
      <c r="A8" s="136" t="inlineStr">
        <is>
          <t>Gesundheit / Physio</t>
        </is>
      </c>
      <c r="B8" s="168" t="n">
        <v>531</v>
      </c>
      <c r="C8" s="168" t="n">
        <v>400</v>
      </c>
      <c r="D8" s="168" t="n">
        <v>350</v>
      </c>
      <c r="E8" s="168" t="n">
        <v>320</v>
      </c>
      <c r="F8" s="219" t="inlineStr">
        <is>
          <t>Enthält Osteo, DZR Dental</t>
        </is>
      </c>
    </row>
    <row r="9" ht="21.75" customHeight="1" s="127">
      <c r="A9" s="132" t="inlineStr">
        <is>
          <t>Versicherungen</t>
        </is>
      </c>
      <c r="B9" s="161" t="n">
        <v>156</v>
      </c>
      <c r="C9" s="161" t="n">
        <v>156</v>
      </c>
      <c r="D9" s="161" t="n">
        <v>180</v>
      </c>
      <c r="E9" s="161" t="n">
        <v>492</v>
      </c>
      <c r="F9" s="220" t="inlineStr">
        <is>
          <t>2026: Uelzener +Kranken? prüfen</t>
        </is>
      </c>
    </row>
    <row r="10" ht="15" customHeight="1" s="127">
      <c r="A10" s="136" t="inlineStr">
        <is>
          <t>PayPal Ausgaben</t>
        </is>
      </c>
      <c r="B10" s="168" t="n">
        <v>200</v>
      </c>
      <c r="C10" s="168" t="n">
        <v>505</v>
      </c>
      <c r="D10" s="168" t="n">
        <v>300</v>
      </c>
      <c r="E10" s="168" t="n">
        <v>644</v>
      </c>
      <c r="F10" s="219" t="n"/>
    </row>
    <row r="11" ht="21.75" customHeight="1" s="127">
      <c r="A11" s="141" t="inlineStr">
        <is>
          <t>Laura Jakobi (Zahlungen)</t>
        </is>
      </c>
      <c r="B11" s="161" t="n">
        <v>0</v>
      </c>
      <c r="C11" s="161" t="n">
        <v>0</v>
      </c>
      <c r="D11" s="161" t="n">
        <v>50</v>
      </c>
      <c r="E11" s="161" t="n">
        <v>1071</v>
      </c>
      <c r="F11" s="220" t="inlineStr">
        <is>
          <t>⚠ NEU 2026: Oleg zahlt an Laura!</t>
        </is>
      </c>
    </row>
    <row r="12" ht="21.75" customHeight="1" s="127">
      <c r="A12" s="136" t="inlineStr">
        <is>
          <t>Wagglz-Darlehnen (privat →)</t>
        </is>
      </c>
      <c r="B12" s="168" t="n">
        <v>0</v>
      </c>
      <c r="C12" s="168" t="n">
        <v>264</v>
      </c>
      <c r="D12" s="168" t="n">
        <v>50</v>
      </c>
      <c r="E12" s="168" t="n">
        <v>728</v>
      </c>
      <c r="F12" s="219" t="inlineStr">
        <is>
          <t>Oleg pumpt Geld in Wagglz</t>
        </is>
      </c>
    </row>
    <row r="13" ht="15" customHeight="1" s="127">
      <c r="A13" s="132" t="inlineStr">
        <is>
          <t>Streaming &amp; Abos</t>
        </is>
      </c>
      <c r="B13" s="161" t="n">
        <v>162</v>
      </c>
      <c r="C13" s="161" t="n">
        <v>162</v>
      </c>
      <c r="D13" s="161" t="n">
        <v>162</v>
      </c>
      <c r="E13" s="161" t="n">
        <v>162</v>
      </c>
      <c r="F13" s="220" t="n"/>
    </row>
    <row r="14" ht="15" customHeight="1" s="127">
      <c r="A14" s="136" t="inlineStr">
        <is>
          <t>Mode &amp; Shopping</t>
        </is>
      </c>
      <c r="B14" s="168" t="n">
        <v>193</v>
      </c>
      <c r="C14" s="168" t="n">
        <v>193</v>
      </c>
      <c r="D14" s="168" t="n">
        <v>193</v>
      </c>
      <c r="E14" s="168" t="n">
        <v>458</v>
      </c>
      <c r="F14" s="219" t="inlineStr">
        <is>
          <t>Mai: Media Markt -1.240 €</t>
        </is>
      </c>
    </row>
    <row r="15" ht="15" customHeight="1" s="127">
      <c r="A15" s="132" t="inlineStr">
        <is>
          <t>Telekommunikation</t>
        </is>
      </c>
      <c r="B15" s="161" t="n">
        <v>39</v>
      </c>
      <c r="C15" s="161" t="n">
        <v>39</v>
      </c>
      <c r="D15" s="161" t="n">
        <v>39</v>
      </c>
      <c r="E15" s="161" t="n">
        <v>39</v>
      </c>
      <c r="F15" s="220" t="inlineStr">
        <is>
          <t>Über Wagglz verrechnet</t>
        </is>
      </c>
    </row>
    <row r="16" ht="15" customHeight="1" s="127">
      <c r="A16" s="136" t="inlineStr">
        <is>
          <t>Auto &amp; Transport</t>
        </is>
      </c>
      <c r="B16" s="168" t="n">
        <v>846</v>
      </c>
      <c r="C16" s="168" t="n">
        <v>846</v>
      </c>
      <c r="D16" s="168" t="n">
        <v>500</v>
      </c>
      <c r="E16" s="168" t="n">
        <v>300</v>
      </c>
      <c r="F16" s="219" t="n"/>
    </row>
    <row r="17" ht="15" customHeight="1" s="127">
      <c r="A17" s="132" t="inlineStr">
        <is>
          <t>Sonstiges</t>
        </is>
      </c>
      <c r="B17" s="161" t="n">
        <v>560</v>
      </c>
      <c r="C17" s="161" t="n">
        <v>560</v>
      </c>
      <c r="D17" s="161" t="n">
        <v>400</v>
      </c>
      <c r="E17" s="161" t="n">
        <v>600</v>
      </c>
      <c r="F17" s="220" t="n"/>
    </row>
    <row r="18" ht="21.75" customHeight="1" s="127">
      <c r="A18" s="163" t="inlineStr">
        <is>
          <t>SUMME ∅/Monat</t>
        </is>
      </c>
      <c r="B18" s="221" t="n">
        <v>5070</v>
      </c>
      <c r="C18" s="164" t="n">
        <v>5501</v>
      </c>
      <c r="D18" s="221" t="n">
        <v>4562</v>
      </c>
      <c r="E18" s="164" t="n">
        <v>7363</v>
      </c>
      <c r="F18" s="222" t="inlineStr">
        <is>
          <t>2026 deutlich über Vorjahr</t>
        </is>
      </c>
    </row>
    <row r="21" ht="15" customHeight="1" s="127">
      <c r="A21" s="223" t="inlineStr">
        <is>
          <t>2026 AUFFÄLLIGE AUSGABEN (kumuliert Jan-Mai)</t>
        </is>
      </c>
    </row>
    <row r="22" ht="21.75" customHeight="1" s="127">
      <c r="A22" s="224" t="inlineStr">
        <is>
          <t>Laura Jakobi</t>
        </is>
      </c>
      <c r="B22" s="225" t="inlineStr">
        <is>
          <t>-5.355 €</t>
        </is>
      </c>
      <c r="C22" s="226" t="inlineStr">
        <is>
          <t>⚠ Neu: Oleg zahlt jetzt an Laura — möglicherweise Miete in neuer gemeinsamer Wohnung</t>
        </is>
      </c>
    </row>
    <row r="23" ht="21.75" customHeight="1" s="127">
      <c r="A23" s="224" t="inlineStr">
        <is>
          <t>VW-Bank</t>
        </is>
      </c>
      <c r="B23" s="225" t="inlineStr">
        <is>
          <t>-5.453 €</t>
        </is>
      </c>
      <c r="C23" s="226" t="inlineStr">
        <is>
          <t>Regulärer Kredit ~1.363 €/Monat</t>
        </is>
      </c>
    </row>
    <row r="24" ht="21.75" customHeight="1" s="127">
      <c r="A24" s="224" t="inlineStr">
        <is>
          <t>GSW Immobilien</t>
        </is>
      </c>
      <c r="B24" s="225" t="inlineStr">
        <is>
          <t>-3.956 €</t>
        </is>
      </c>
      <c r="C24" s="226" t="inlineStr">
        <is>
          <t>Miete — warum 2x höher als 2024/25?</t>
        </is>
      </c>
    </row>
    <row r="25" ht="21.75" customHeight="1" s="127">
      <c r="A25" s="224" t="inlineStr">
        <is>
          <t>Media Markt</t>
        </is>
      </c>
      <c r="B25" s="225" t="inlineStr">
        <is>
          <t>-1.240 €</t>
        </is>
      </c>
      <c r="C25" s="226" t="inlineStr">
        <is>
          <t>Einmalausgabe Mai 2026 (Elektronik)</t>
        </is>
      </c>
    </row>
    <row r="26" ht="21.75" customHeight="1" s="127">
      <c r="A26" s="224" t="inlineStr">
        <is>
          <t>DZR GmbH</t>
        </is>
      </c>
      <c r="B26" s="225" t="inlineStr">
        <is>
          <t>-488 €</t>
        </is>
      </c>
      <c r="C26" s="226" t="inlineStr">
        <is>
          <t>Zahnarztkosten (Abrechnung)</t>
        </is>
      </c>
    </row>
    <row r="27" ht="21.75" customHeight="1" s="127">
      <c r="A27" s="224" t="inlineStr">
        <is>
          <t>Annette-Beatrice Wiemann</t>
        </is>
      </c>
      <c r="B27" s="225" t="inlineStr">
        <is>
          <t>-706 €</t>
        </is>
      </c>
      <c r="C27" s="226" t="inlineStr">
        <is>
          <t>Unklar — Anwalt/Therapeut?</t>
        </is>
      </c>
    </row>
  </sheetData>
  <mergeCells count="8">
    <mergeCell ref="C22:F22"/>
    <mergeCell ref="C23:F23"/>
    <mergeCell ref="A1:F1"/>
    <mergeCell ref="C26:F26"/>
    <mergeCell ref="C25:F25"/>
    <mergeCell ref="C27:F27"/>
    <mergeCell ref="A21:F21"/>
    <mergeCell ref="C24:F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26" min="1" max="1"/>
    <col width="18" customWidth="1" style="126" min="2" max="3"/>
    <col width="28" customWidth="1" style="126" min="4" max="4"/>
  </cols>
  <sheetData>
    <row r="1" ht="39.75" customHeight="1" s="127">
      <c r="A1" s="157" t="inlineStr">
        <is>
          <t>GESELLSCHAFTERDARLEHNEN OLEG → WAGGLZ GmbH</t>
        </is>
      </c>
    </row>
    <row r="3" ht="15" customHeight="1" s="127">
      <c r="A3" s="158" t="inlineStr">
        <is>
          <t>Datum / Zeitraum</t>
        </is>
      </c>
      <c r="B3" s="158" t="inlineStr">
        <is>
          <t>Betrag</t>
        </is>
      </c>
      <c r="C3" s="158" t="inlineStr">
        <is>
          <t>Kumuliert</t>
        </is>
      </c>
      <c r="D3" s="158" t="inlineStr">
        <is>
          <t>Quelle / Kommentar</t>
        </is>
      </c>
    </row>
    <row r="4" ht="21.75" customHeight="1" s="127">
      <c r="A4" s="136" t="inlineStr">
        <is>
          <t>Aug 2024</t>
        </is>
      </c>
      <c r="B4" s="138" t="inlineStr">
        <is>
          <t>12.500 €</t>
        </is>
      </c>
      <c r="C4" s="138" t="inlineStr">
        <is>
          <t>12.500 €</t>
        </is>
      </c>
      <c r="D4" s="238" t="inlineStr">
        <is>
          <t>Stammkapital + Darlehnen, Consorsbank → Wagglz DB</t>
        </is>
      </c>
    </row>
    <row r="5" ht="21.75" customHeight="1" s="127">
      <c r="A5" s="132" t="inlineStr">
        <is>
          <t>Aug 2024 (2. Zahlung)</t>
        </is>
      </c>
      <c r="B5" s="134" t="inlineStr">
        <is>
          <t>9.000 €</t>
        </is>
      </c>
      <c r="C5" s="134" t="inlineStr">
        <is>
          <t>21.500 €</t>
        </is>
      </c>
      <c r="D5" s="234" t="inlineStr">
        <is>
          <t>Consorsbank → Wagglz DB</t>
        </is>
      </c>
    </row>
    <row r="6" ht="21.75" customHeight="1" s="127">
      <c r="A6" s="136" t="inlineStr">
        <is>
          <t>Okt 2024</t>
        </is>
      </c>
      <c r="B6" s="138" t="inlineStr">
        <is>
          <t>2.000 €</t>
        </is>
      </c>
      <c r="C6" s="138" t="inlineStr">
        <is>
          <t>23.500 €</t>
        </is>
      </c>
      <c r="D6" s="238" t="inlineStr">
        <is>
          <t>Überweisung zwischen Konten Wagglz DB→Finom</t>
        </is>
      </c>
    </row>
    <row r="7" ht="21.75" customHeight="1" s="127">
      <c r="A7" s="132" t="inlineStr">
        <is>
          <t>Jan 2025</t>
        </is>
      </c>
      <c r="B7" s="134" t="inlineStr">
        <is>
          <t>1.500 €</t>
        </is>
      </c>
      <c r="C7" s="134" t="inlineStr">
        <is>
          <t>25.000 €</t>
        </is>
      </c>
      <c r="D7" s="234" t="inlineStr">
        <is>
          <t>Consorsbank → Wagglz Finom 'Eigenkapital'</t>
        </is>
      </c>
    </row>
    <row r="8" ht="21.75" customHeight="1" s="127">
      <c r="A8" s="136" t="inlineStr">
        <is>
          <t>Feb 2025</t>
        </is>
      </c>
      <c r="B8" s="138" t="inlineStr">
        <is>
          <t>900 €</t>
        </is>
      </c>
      <c r="C8" s="138" t="inlineStr">
        <is>
          <t>25.900 €</t>
        </is>
      </c>
      <c r="D8" s="238" t="inlineStr">
        <is>
          <t>Consorsbank → Wagglz Finom 'Eigenkapital'</t>
        </is>
      </c>
    </row>
    <row r="9" ht="21.75" customHeight="1" s="127">
      <c r="A9" s="132" t="inlineStr">
        <is>
          <t>Mrz–Jun 2025</t>
        </is>
      </c>
      <c r="B9" s="134" t="inlineStr">
        <is>
          <t>~3.000 €</t>
        </is>
      </c>
      <c r="C9" s="134" t="inlineStr">
        <is>
          <t>28.900 €</t>
        </is>
      </c>
      <c r="D9" s="234" t="inlineStr">
        <is>
          <t>Laufende Darlehnen via Consorsbank</t>
        </is>
      </c>
    </row>
    <row r="10" ht="21.75" customHeight="1" s="127">
      <c r="A10" s="136" t="inlineStr">
        <is>
          <t>Jul–Dez 2025</t>
        </is>
      </c>
      <c r="B10" s="138" t="inlineStr">
        <is>
          <t>~2.500 €</t>
        </is>
      </c>
      <c r="C10" s="138" t="inlineStr">
        <is>
          <t>31.400 €</t>
        </is>
      </c>
      <c r="D10" s="238" t="inlineStr">
        <is>
          <t>Kleinstbeträge, 'Gesellschafterdarlehnen'</t>
        </is>
      </c>
    </row>
    <row r="11" ht="21.75" customHeight="1" s="127">
      <c r="A11" s="132" t="inlineStr">
        <is>
          <t>Jan–Mai 2026</t>
        </is>
      </c>
      <c r="B11" s="134" t="inlineStr">
        <is>
          <t>~2.500 €</t>
        </is>
      </c>
      <c r="C11" s="134" t="inlineStr">
        <is>
          <t>33.900 €</t>
        </is>
      </c>
      <c r="D11" s="234" t="inlineStr">
        <is>
          <t>Kleinbeträge aus Wagglz Finom 2026</t>
        </is>
      </c>
    </row>
    <row r="12" ht="21.75" customHeight="1" s="127">
      <c r="A12" s="274" t="inlineStr">
        <is>
          <t>GESAMT lt. JA 31.12.2024 + DB-Darlehen 2025</t>
        </is>
      </c>
      <c r="B12" s="275" t="inlineStr">
        <is>
          <t>~33.900 €</t>
        </is>
      </c>
      <c r="C12" s="266" t="inlineStr">
        <is>
          <t>33.900 €</t>
        </is>
      </c>
      <c r="D12" s="276" t="inlineStr">
        <is>
          <t>JA 2024 bestätigt: 29.397,35€ Verbindlichkeit gg. Gesellschafter (Kto 3510 DATEV)</t>
        </is>
      </c>
    </row>
    <row r="13">
      <c r="A13" s="277" t="inlineStr">
        <is>
          <t>JAHRESABSCHLUSS-BESTAETIGUNG</t>
        </is>
      </c>
      <c r="B13" s="277" t="inlineStr"/>
      <c r="C13" s="277" t="inlineStr"/>
      <c r="D13" s="277" t="inlineStr"/>
      <c r="E13" s="277" t="inlineStr"/>
      <c r="F13" s="277" t="inlineStr"/>
    </row>
    <row r="14">
      <c r="A14" s="278" t="inlineStr">
        <is>
          <t>Verbindlichkeit gg. Gesellschafter (31.12.2024)</t>
        </is>
      </c>
      <c r="B14" s="279" t="inlineStr">
        <is>
          <t>29.397,35 EUR</t>
        </is>
      </c>
      <c r="C14" s="279" t="inlineStr"/>
      <c r="D14" s="279" t="inlineStr">
        <is>
          <t>Kto 3510 — Jahresabschluss 2024 (DATEV/SP Steuerberatungsges. Berlin, 30.06.2025)</t>
        </is>
      </c>
    </row>
    <row r="15" ht="15" customHeight="1" s="127">
      <c r="A15" s="280" t="inlineStr">
        <is>
          <t>Zinsen Gesellschafterdarlehen 2024 (Kto 7316)</t>
        </is>
      </c>
    </row>
    <row r="16" ht="60" customHeight="1" s="127">
      <c r="A16" s="281" t="inlineStr">
        <is>
          <t>HINWEIS 17 Abs. 2a EStG: Gesellschafterdarlehen die VOR Eintritt einer Krise hingegeben wurden sind als nachtraegliche Anschaffungskosten absetzbar. Krisen-Zeitpunkt muss dokumentiert sein. -&gt; Steuerberater konsultieren!</t>
        </is>
      </c>
    </row>
    <row r="19">
      <c r="A19" s="223" t="inlineStr">
        <is>
          <t>⚠ HINWEIS: Rückzahlungsrisiko</t>
        </is>
      </c>
    </row>
    <row r="20" ht="90" customHeight="1" s="127">
      <c r="A20" s="283" t="inlineStr">
        <is>
          <t>Wagglz GmbH ist bilanziell ueberschuldet (Fehlbetrag 27.926,89 EUR nicht durch EK gedeckt, Stand 31.12.2024). Gesellschafterdarlehen (29.397,35 EUR lt. JA) sind nachrangig. Bei Liquidation werden diese voraussichtlich nicht vollstaendig zurueckgezahlt. HANDLUNGSOPTIONEN: (1) Reaktivieren + Rangruecktritt erklaeren; (2) Geordnete Liquidation mit Verlust nach §17 EStG (~10.558 EUR Steuerersparnis); (3) Status quo = ~420 EUR/Jahr Kontogeb. fuer inaktive OK Capital UG + Insolvenzrisiko Wagglz.</t>
        </is>
      </c>
    </row>
  </sheetData>
  <mergeCells count="3">
    <mergeCell ref="A1:D1"/>
    <mergeCell ref="A16:D16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6" customWidth="1" style="127" min="1" max="1"/>
    <col width="14" customWidth="1" style="127" min="2" max="2"/>
    <col width="14" customWidth="1" style="127" min="3" max="3"/>
    <col width="14" customWidth="1" style="127" min="4" max="4"/>
    <col width="14" customWidth="1" style="127" min="5" max="5"/>
    <col width="24" customWidth="1" style="127" min="6" max="6"/>
  </cols>
  <sheetData>
    <row r="1" ht="28" customHeight="1" s="127">
      <c r="A1" s="343" t="inlineStr">
        <is>
          <t>SPLITWISE ANALYSE — Gemeinsame Ausgaben mit Laura Jakobi</t>
        </is>
      </c>
      <c r="B1" s="341" t="n"/>
      <c r="C1" s="341" t="n"/>
      <c r="D1" s="341" t="n"/>
      <c r="E1" s="341" t="n"/>
      <c r="F1" s="342" t="n"/>
    </row>
    <row r="2" ht="18" customHeight="1" s="127">
      <c r="A2" s="298" t="inlineStr">
        <is>
          <t>Stand: 11.06.2026 · Gruppe: the-mochi-s · Zeitraum: Mai 2023 – Jun 2026 · 1.494 Buchungen</t>
        </is>
      </c>
      <c r="B2" s="341" t="n"/>
      <c r="C2" s="341" t="n"/>
      <c r="D2" s="341" t="n"/>
      <c r="E2" s="341" t="n"/>
      <c r="F2" s="342" t="n"/>
    </row>
    <row r="3">
      <c r="A3" s="299" t="n"/>
      <c r="B3" s="299" t="n"/>
      <c r="C3" s="299" t="n"/>
      <c r="D3" s="299" t="n"/>
      <c r="E3" s="299" t="n"/>
      <c r="F3" s="299" t="n"/>
    </row>
    <row r="4" ht="22" customHeight="1" s="127">
      <c r="A4" s="300" t="inlineStr">
        <is>
          <t>1  JAHRESÜBERSICHT — Splitwise Gruppe 'the-mochi-s'</t>
        </is>
      </c>
      <c r="B4" s="341" t="n"/>
      <c r="C4" s="341" t="n"/>
      <c r="D4" s="341" t="n"/>
      <c r="E4" s="341" t="n"/>
      <c r="F4" s="342" t="n"/>
    </row>
    <row r="5" ht="18" customHeight="1" s="127">
      <c r="A5" s="301" t="inlineStr">
        <is>
          <t>Jahr</t>
        </is>
      </c>
      <c r="B5" s="301" t="inlineStr">
        <is>
          <t>Gesamtausg.</t>
        </is>
      </c>
      <c r="C5" s="301" t="inlineStr">
        <is>
          <t>Oleg-Bilanz</t>
        </is>
      </c>
      <c r="D5" s="301" t="inlineStr">
        <is>
          <t>Bedeutung</t>
        </is>
      </c>
      <c r="E5" s="341" t="n"/>
      <c r="F5" s="342" t="n"/>
    </row>
    <row r="6" ht="18" customHeight="1" s="127">
      <c r="A6" s="336" t="inlineStr">
        <is>
          <t>2023</t>
        </is>
      </c>
      <c r="B6" s="319" t="inlineStr">
        <is>
          <t>9,886 €</t>
        </is>
      </c>
      <c r="C6" s="313" t="inlineStr">
        <is>
          <t>+51.30 €</t>
        </is>
      </c>
      <c r="D6" s="304" t="inlineStr">
        <is>
          <t>Kennenlern-Phase · Ausgaben beidseitig ausgeglichen</t>
        </is>
      </c>
      <c r="E6" s="341" t="n"/>
      <c r="F6" s="342" t="n"/>
    </row>
    <row r="7" ht="18" customHeight="1" s="127">
      <c r="A7" s="344" t="inlineStr">
        <is>
          <t>2024</t>
        </is>
      </c>
      <c r="B7" s="318" t="inlineStr">
        <is>
          <t>22,957 €</t>
        </is>
      </c>
      <c r="C7" s="345" t="inlineStr">
        <is>
          <t>+1,600.21 €</t>
        </is>
      </c>
      <c r="D7" s="307" t="inlineStr">
        <is>
          <t>Oleg +1.600€ Schulden (große Ausgaben von Laura bezahlt)</t>
        </is>
      </c>
      <c r="E7" s="341" t="n"/>
      <c r="F7" s="342" t="n"/>
    </row>
    <row r="8" ht="18" customHeight="1" s="127">
      <c r="A8" s="336" t="inlineStr">
        <is>
          <t>2025</t>
        </is>
      </c>
      <c r="B8" s="319" t="inlineStr">
        <is>
          <t>15,146 €</t>
        </is>
      </c>
      <c r="C8" s="346" t="inlineStr">
        <is>
          <t>-1,662.62 €</t>
        </is>
      </c>
      <c r="D8" s="304" t="inlineStr">
        <is>
          <t>Laura zahlte 1.663€ mehr → Oleg im Plus</t>
        </is>
      </c>
      <c r="E8" s="341" t="n"/>
      <c r="F8" s="342" t="n"/>
    </row>
    <row r="9" ht="18" customHeight="1" s="127">
      <c r="A9" s="344" t="inlineStr">
        <is>
          <t>2026</t>
        </is>
      </c>
      <c r="B9" s="318" t="inlineStr">
        <is>
          <t>11,143 €</t>
        </is>
      </c>
      <c r="C9" s="306" t="inlineStr">
        <is>
          <t>-130.71 €</t>
        </is>
      </c>
      <c r="D9" s="307" t="inlineStr">
        <is>
          <t>Jan–Jun 2026 · laufend ausgeglichen</t>
        </is>
      </c>
      <c r="E9" s="341" t="n"/>
      <c r="F9" s="342" t="n"/>
    </row>
    <row r="10" ht="20" customHeight="1" s="127">
      <c r="A10" s="347" t="inlineStr">
        <is>
          <t>GESAMT</t>
        </is>
      </c>
      <c r="B10" s="348" t="inlineStr">
        <is>
          <t>59,131 €</t>
        </is>
      </c>
      <c r="C10" s="309" t="inlineStr">
        <is>
          <t>-141.82 €</t>
        </is>
      </c>
      <c r="D10" s="310" t="inlineStr">
        <is>
          <t>Oleg Gesamtbilanz: -141.82€ (negativ = bekommt Geld)</t>
        </is>
      </c>
      <c r="E10" s="341" t="n"/>
      <c r="F10" s="342" t="n"/>
    </row>
    <row r="11">
      <c r="A11" s="299" t="n"/>
      <c r="B11" s="299" t="n"/>
      <c r="C11" s="299" t="n"/>
      <c r="D11" s="299" t="n"/>
      <c r="E11" s="299" t="n"/>
      <c r="F11" s="299" t="n"/>
    </row>
    <row r="12" ht="22" customHeight="1" s="127">
      <c r="A12" s="300" t="inlineStr">
        <is>
          <t>2  AUSGABEN NACH KATEGORIE (Oleg-Anteil, alle Jahre)</t>
        </is>
      </c>
      <c r="B12" s="341" t="n"/>
      <c r="C12" s="341" t="n"/>
      <c r="D12" s="341" t="n"/>
      <c r="E12" s="341" t="n"/>
      <c r="F12" s="342" t="n"/>
    </row>
    <row r="13" ht="18" customHeight="1" s="127">
      <c r="A13" s="301" t="inlineStr">
        <is>
          <t>Kategorie</t>
        </is>
      </c>
      <c r="B13" s="301" t="inlineStr">
        <is>
          <t>Oleg-Anteil</t>
        </is>
      </c>
      <c r="C13" s="301" t="inlineStr">
        <is>
          <t>% vom Total</t>
        </is>
      </c>
      <c r="D13" s="301" t="inlineStr">
        <is>
          <t>Insight</t>
        </is>
      </c>
      <c r="E13" s="341" t="n"/>
      <c r="F13" s="342" t="n"/>
    </row>
    <row r="14" ht="18" customHeight="1" s="127">
      <c r="A14" s="302" t="inlineStr">
        <is>
          <t>Allgemein</t>
        </is>
      </c>
      <c r="B14" s="319" t="inlineStr">
        <is>
          <t>17,852 €</t>
        </is>
      </c>
      <c r="C14" s="314" t="inlineStr">
        <is>
          <t>47.9%</t>
        </is>
      </c>
      <c r="D14" s="304" t="inlineStr">
        <is>
          <t>Sammelkategorie: Einrichtung, Mobility, Events</t>
        </is>
      </c>
      <c r="E14" s="341" t="n"/>
      <c r="F14" s="342" t="n"/>
    </row>
    <row r="15" ht="18" customHeight="1" s="127">
      <c r="A15" s="305" t="inlineStr">
        <is>
          <t>Lebensmittel</t>
        </is>
      </c>
      <c r="B15" s="318" t="inlineStr">
        <is>
          <t>7,102 €</t>
        </is>
      </c>
      <c r="C15" s="312" t="inlineStr">
        <is>
          <t>19.1%</t>
        </is>
      </c>
      <c r="D15" s="307" t="inlineStr">
        <is>
          <t>Supermarkt, Lieferungen — täglicher Bedarf</t>
        </is>
      </c>
      <c r="E15" s="341" t="n"/>
      <c r="F15" s="342" t="n"/>
    </row>
    <row r="16" ht="18" customHeight="1" s="127">
      <c r="A16" s="302" t="inlineStr">
        <is>
          <t>Zahlung</t>
        </is>
      </c>
      <c r="B16" s="319" t="inlineStr">
        <is>
          <t>6,162 €</t>
        </is>
      </c>
      <c r="C16" s="314" t="inlineStr">
        <is>
          <t>16.5%</t>
        </is>
      </c>
      <c r="D16" s="304" t="inlineStr">
        <is>
          <t>Ausgleichszahlungen zwischen Oleg und Laura</t>
        </is>
      </c>
      <c r="E16" s="341" t="n"/>
      <c r="F16" s="342" t="n"/>
    </row>
    <row r="17" ht="18" customHeight="1" s="127">
      <c r="A17" s="305" t="inlineStr">
        <is>
          <t>Hotel</t>
        </is>
      </c>
      <c r="B17" s="318" t="inlineStr">
        <is>
          <t>2,199 €</t>
        </is>
      </c>
      <c r="C17" s="312" t="inlineStr">
        <is>
          <t>5.9%</t>
        </is>
      </c>
      <c r="D17" s="307" t="inlineStr">
        <is>
          <t>Trips/Reisen (Laboe, diverse Kurzurlaube)</t>
        </is>
      </c>
      <c r="E17" s="341" t="n"/>
      <c r="F17" s="342" t="n"/>
    </row>
    <row r="18" ht="18" customHeight="1" s="127">
      <c r="A18" s="302" t="inlineStr">
        <is>
          <t>Restaurant</t>
        </is>
      </c>
      <c r="B18" s="319" t="inlineStr">
        <is>
          <t>1,586 €</t>
        </is>
      </c>
      <c r="C18" s="314" t="inlineStr">
        <is>
          <t>4.3%</t>
        </is>
      </c>
      <c r="D18" s="304" t="inlineStr">
        <is>
          <t>Gemeinsame Restaurantbesuche</t>
        </is>
      </c>
      <c r="E18" s="341" t="n"/>
      <c r="F18" s="342" t="n"/>
    </row>
    <row r="19" ht="18" customHeight="1" s="127">
      <c r="A19" s="305" t="inlineStr">
        <is>
          <t>Flugzeug</t>
        </is>
      </c>
      <c r="B19" s="318" t="inlineStr">
        <is>
          <t>639 €</t>
        </is>
      </c>
      <c r="C19" s="312" t="inlineStr">
        <is>
          <t>1.7%</t>
        </is>
      </c>
      <c r="D19" s="307" t="inlineStr">
        <is>
          <t>Reisekosten (Flüge)</t>
        </is>
      </c>
      <c r="E19" s="341" t="n"/>
      <c r="F19" s="342" t="n"/>
    </row>
    <row r="20" ht="18" customHeight="1" s="127">
      <c r="A20" s="302" t="inlineStr">
        <is>
          <t>Alkohol</t>
        </is>
      </c>
      <c r="B20" s="319" t="inlineStr">
        <is>
          <t>480 €</t>
        </is>
      </c>
      <c r="C20" s="314" t="inlineStr">
        <is>
          <t>1.3%</t>
        </is>
      </c>
      <c r="D20" s="304" t="inlineStr">
        <is>
          <t>Bar/Club-Ausgaben</t>
        </is>
      </c>
      <c r="E20" s="341" t="n"/>
      <c r="F20" s="342" t="n"/>
    </row>
    <row r="21" ht="18" customHeight="1" s="127">
      <c r="A21" s="305" t="inlineStr">
        <is>
          <t>Möbel</t>
        </is>
      </c>
      <c r="B21" s="318" t="inlineStr">
        <is>
          <t>349 €</t>
        </is>
      </c>
      <c r="C21" s="312" t="inlineStr">
        <is>
          <t>0.9%</t>
        </is>
      </c>
      <c r="D21" s="307" t="inlineStr">
        <is>
          <t>Gemeinsame Einrichtung</t>
        </is>
      </c>
      <c r="E21" s="341" t="n"/>
      <c r="F21" s="342" t="n"/>
    </row>
    <row r="22" ht="18" customHeight="1" s="127">
      <c r="A22" s="302" t="inlineStr">
        <is>
          <t>Bus/Zug</t>
        </is>
      </c>
      <c r="B22" s="319" t="inlineStr">
        <is>
          <t>324 €</t>
        </is>
      </c>
      <c r="C22" s="314" t="inlineStr">
        <is>
          <t>0.9%</t>
        </is>
      </c>
      <c r="D22" s="304" t="inlineStr">
        <is>
          <t>ÖPNV/Tickets</t>
        </is>
      </c>
      <c r="E22" s="341" t="n"/>
      <c r="F22" s="342" t="n"/>
    </row>
    <row r="23" ht="18" customHeight="1" s="127">
      <c r="A23" s="305" t="inlineStr">
        <is>
          <t>Geschenke</t>
        </is>
      </c>
      <c r="B23" s="318" t="inlineStr">
        <is>
          <t>322 €</t>
        </is>
      </c>
      <c r="C23" s="312" t="inlineStr">
        <is>
          <t>0.9%</t>
        </is>
      </c>
      <c r="D23" s="307" t="inlineStr">
        <is>
          <t>Geschenke gemeinsam</t>
        </is>
      </c>
      <c r="E23" s="341" t="n"/>
      <c r="F23" s="342" t="n"/>
    </row>
    <row r="24" ht="18" customHeight="1" s="127">
      <c r="A24" s="302" t="inlineStr">
        <is>
          <t xml:space="preserve"> </t>
        </is>
      </c>
      <c r="B24" s="319" t="inlineStr">
        <is>
          <t>142 €</t>
        </is>
      </c>
      <c r="C24" s="314" t="inlineStr">
        <is>
          <t>0.4%</t>
        </is>
      </c>
      <c r="D24" s="304" t="inlineStr"/>
      <c r="E24" s="341" t="n"/>
      <c r="F24" s="342" t="n"/>
    </row>
    <row r="25" ht="18" customHeight="1" s="127">
      <c r="A25" s="305" t="inlineStr">
        <is>
          <t>Medikamente</t>
        </is>
      </c>
      <c r="B25" s="318" t="inlineStr">
        <is>
          <t>104 €</t>
        </is>
      </c>
      <c r="C25" s="312" t="inlineStr">
        <is>
          <t>0.3%</t>
        </is>
      </c>
      <c r="D25" s="307" t="inlineStr"/>
      <c r="E25" s="341" t="n"/>
      <c r="F25" s="342" t="n"/>
    </row>
    <row r="26">
      <c r="A26" s="299" t="n"/>
      <c r="B26" s="299" t="n"/>
      <c r="C26" s="299" t="n"/>
      <c r="D26" s="299" t="n"/>
      <c r="E26" s="299" t="n"/>
      <c r="F26" s="299" t="n"/>
    </row>
    <row r="27" ht="22" customHeight="1" s="127">
      <c r="A27" s="300" t="inlineStr">
        <is>
          <t>3  WEITERE SPLITWISE-GRUPPEN (Einzelauswertungen)</t>
        </is>
      </c>
      <c r="B27" s="341" t="n"/>
      <c r="C27" s="341" t="n"/>
      <c r="D27" s="341" t="n"/>
      <c r="E27" s="341" t="n"/>
      <c r="F27" s="342" t="n"/>
    </row>
    <row r="28" ht="18" customHeight="1" s="127">
      <c r="A28" s="301" t="inlineStr">
        <is>
          <t>Gruppe / Trip</t>
        </is>
      </c>
      <c r="B28" s="301" t="inlineStr">
        <is>
          <t>Datum</t>
        </is>
      </c>
      <c r="C28" s="301" t="inlineStr">
        <is>
          <t>Gesamtkosten</t>
        </is>
      </c>
      <c r="D28" s="301" t="inlineStr">
        <is>
          <t>Oleg-Anteil</t>
        </is>
      </c>
      <c r="E28" s="301" t="inlineStr">
        <is>
          <t>Teilnehmer</t>
        </is>
      </c>
      <c r="F28" s="342" t="n"/>
    </row>
    <row r="29" ht="22" customHeight="1" s="127">
      <c r="A29" s="305" t="inlineStr">
        <is>
          <t>Laboe Wochenende</t>
        </is>
      </c>
      <c r="B29" s="312" t="inlineStr">
        <is>
          <t>Apr 6–8, 2026</t>
        </is>
      </c>
      <c r="C29" s="318" t="inlineStr">
        <is>
          <t>~300 €</t>
        </is>
      </c>
      <c r="D29" s="306" t="inlineStr">
        <is>
          <t>ausgeglichen</t>
        </is>
      </c>
      <c r="E29" s="307" t="inlineStr">
        <is>
          <t>Oleg, Laura, Krüger</t>
        </is>
      </c>
      <c r="F29" s="342" t="n"/>
    </row>
    <row r="30" ht="22" customHeight="1" s="127">
      <c r="A30" s="302" t="inlineStr">
        <is>
          <t>Großer Mai-Trip (JGA?)</t>
        </is>
      </c>
      <c r="B30" s="314" t="inlineStr">
        <is>
          <t>14.–18. Mai 2026</t>
        </is>
      </c>
      <c r="C30" s="319" t="inlineStr">
        <is>
          <t>~2.500 €</t>
        </is>
      </c>
      <c r="D30" s="303" t="inlineStr">
        <is>
          <t>~400 € (Oleg zahlte 196€ nach)</t>
        </is>
      </c>
      <c r="E30" s="304" t="inlineStr">
        <is>
          <t>7 Personen: Oleg, Neels, Kan, Thorsten, Daniel, Willem, Franz</t>
        </is>
      </c>
      <c r="F30" s="342" t="n"/>
    </row>
    <row r="31" ht="22" customHeight="1" s="127">
      <c r="A31" s="305" t="inlineStr">
        <is>
          <t>Berlin-Alltagsgruppe</t>
        </is>
      </c>
      <c r="B31" s="312" t="inlineStr">
        <is>
          <t>2023–2026</t>
        </is>
      </c>
      <c r="C31" s="318" t="inlineStr">
        <is>
          <t>~3.200 €</t>
        </is>
      </c>
      <c r="D31" s="306" t="inlineStr">
        <is>
          <t>ausgeglichen</t>
        </is>
      </c>
      <c r="E31" s="307" t="inlineStr">
        <is>
          <t>Cedric, Laura, Oleg, Krüger</t>
        </is>
      </c>
      <c r="F31" s="342" t="n"/>
    </row>
    <row r="32">
      <c r="A32" s="299" t="n"/>
      <c r="B32" s="299" t="n"/>
      <c r="C32" s="299" t="n"/>
      <c r="D32" s="299" t="n"/>
      <c r="E32" s="299" t="n"/>
      <c r="F32" s="299" t="n"/>
    </row>
    <row r="33" ht="20" customHeight="1" s="127">
      <c r="A33" s="321" t="inlineStr">
        <is>
          <t>⚠ Splitwise-Bilanz zeigt nur ANTEIL — tatsächliche Überweisungen laufen über Consorbank und sind dort erfasst</t>
        </is>
      </c>
      <c r="B33" s="341" t="n"/>
      <c r="C33" s="341" t="n"/>
      <c r="D33" s="341" t="n"/>
      <c r="E33" s="341" t="n"/>
      <c r="F33" s="342" t="n"/>
    </row>
    <row r="34">
      <c r="A34" s="299" t="n"/>
      <c r="B34" s="299" t="n"/>
      <c r="C34" s="299" t="n"/>
      <c r="D34" s="299" t="n"/>
      <c r="E34" s="299" t="n"/>
      <c r="F34" s="299" t="n"/>
    </row>
    <row r="35">
      <c r="A35" s="299" t="n"/>
      <c r="B35" s="299" t="n"/>
      <c r="C35" s="299" t="n"/>
      <c r="D35" s="299" t="n"/>
      <c r="E35" s="299" t="n"/>
      <c r="F35" s="299" t="n"/>
    </row>
    <row r="36">
      <c r="A36" s="299" t="n"/>
      <c r="B36" s="299" t="n"/>
      <c r="C36" s="299" t="n"/>
      <c r="D36" s="299" t="n"/>
      <c r="E36" s="299" t="n"/>
      <c r="F36" s="299" t="n"/>
    </row>
    <row r="37">
      <c r="A37" s="299" t="n"/>
      <c r="B37" s="299" t="n"/>
      <c r="C37" s="299" t="n"/>
      <c r="D37" s="299" t="n"/>
      <c r="E37" s="299" t="n"/>
      <c r="F37" s="299" t="n"/>
    </row>
    <row r="38">
      <c r="A38" s="299" t="n"/>
      <c r="B38" s="299" t="n"/>
      <c r="C38" s="299" t="n"/>
      <c r="D38" s="299" t="n"/>
      <c r="E38" s="299" t="n"/>
      <c r="F38" s="299" t="n"/>
    </row>
    <row r="39">
      <c r="A39" s="299" t="n"/>
      <c r="B39" s="299" t="n"/>
      <c r="C39" s="299" t="n"/>
      <c r="D39" s="299" t="n"/>
      <c r="E39" s="299" t="n"/>
      <c r="F39" s="299" t="n"/>
    </row>
    <row r="40">
      <c r="A40" s="299" t="n"/>
      <c r="B40" s="299" t="n"/>
      <c r="C40" s="299" t="n"/>
      <c r="D40" s="299" t="n"/>
      <c r="E40" s="299" t="n"/>
      <c r="F40" s="299" t="n"/>
    </row>
    <row r="41">
      <c r="A41" s="299" t="n"/>
      <c r="B41" s="299" t="n"/>
      <c r="C41" s="299" t="n"/>
      <c r="D41" s="299" t="n"/>
      <c r="E41" s="299" t="n"/>
      <c r="F41" s="299" t="n"/>
    </row>
    <row r="42">
      <c r="A42" s="299" t="n"/>
      <c r="B42" s="299" t="n"/>
      <c r="C42" s="299" t="n"/>
      <c r="D42" s="299" t="n"/>
      <c r="E42" s="299" t="n"/>
      <c r="F42" s="299" t="n"/>
    </row>
    <row r="43">
      <c r="A43" s="299" t="n"/>
      <c r="B43" s="299" t="n"/>
      <c r="C43" s="299" t="n"/>
      <c r="D43" s="299" t="n"/>
      <c r="E43" s="299" t="n"/>
      <c r="F43" s="299" t="n"/>
    </row>
    <row r="44">
      <c r="A44" s="299" t="n"/>
      <c r="B44" s="299" t="n"/>
      <c r="C44" s="299" t="n"/>
      <c r="D44" s="299" t="n"/>
      <c r="E44" s="299" t="n"/>
      <c r="F44" s="299" t="n"/>
    </row>
    <row r="45">
      <c r="A45" s="299" t="n"/>
      <c r="B45" s="299" t="n"/>
      <c r="C45" s="299" t="n"/>
      <c r="D45" s="299" t="n"/>
      <c r="E45" s="299" t="n"/>
      <c r="F45" s="299" t="n"/>
    </row>
    <row r="46">
      <c r="A46" s="299" t="n"/>
      <c r="B46" s="299" t="n"/>
      <c r="C46" s="299" t="n"/>
      <c r="D46" s="299" t="n"/>
      <c r="E46" s="299" t="n"/>
      <c r="F46" s="299" t="n"/>
    </row>
    <row r="47">
      <c r="A47" s="299" t="n"/>
      <c r="B47" s="299" t="n"/>
      <c r="C47" s="299" t="n"/>
      <c r="D47" s="299" t="n"/>
      <c r="E47" s="299" t="n"/>
      <c r="F47" s="299" t="n"/>
    </row>
    <row r="48">
      <c r="A48" s="299" t="n"/>
      <c r="B48" s="299" t="n"/>
      <c r="C48" s="299" t="n"/>
      <c r="D48" s="299" t="n"/>
      <c r="E48" s="299" t="n"/>
      <c r="F48" s="299" t="n"/>
    </row>
    <row r="49">
      <c r="A49" s="299" t="n"/>
      <c r="B49" s="299" t="n"/>
      <c r="C49" s="299" t="n"/>
      <c r="D49" s="299" t="n"/>
      <c r="E49" s="299" t="n"/>
      <c r="F49" s="299" t="n"/>
    </row>
    <row r="50">
      <c r="A50" s="299" t="n"/>
      <c r="B50" s="299" t="n"/>
      <c r="C50" s="299" t="n"/>
      <c r="D50" s="299" t="n"/>
      <c r="E50" s="299" t="n"/>
      <c r="F50" s="299" t="n"/>
    </row>
    <row r="51">
      <c r="A51" s="299" t="n"/>
      <c r="B51" s="299" t="n"/>
      <c r="C51" s="299" t="n"/>
      <c r="D51" s="299" t="n"/>
      <c r="E51" s="299" t="n"/>
      <c r="F51" s="299" t="n"/>
    </row>
    <row r="52">
      <c r="A52" s="299" t="n"/>
      <c r="B52" s="299" t="n"/>
      <c r="C52" s="299" t="n"/>
      <c r="D52" s="299" t="n"/>
      <c r="E52" s="299" t="n"/>
      <c r="F52" s="299" t="n"/>
    </row>
    <row r="53">
      <c r="A53" s="299" t="n"/>
      <c r="B53" s="299" t="n"/>
      <c r="C53" s="299" t="n"/>
      <c r="D53" s="299" t="n"/>
      <c r="E53" s="299" t="n"/>
      <c r="F53" s="299" t="n"/>
    </row>
    <row r="54">
      <c r="A54" s="299" t="n"/>
      <c r="B54" s="299" t="n"/>
      <c r="C54" s="299" t="n"/>
      <c r="D54" s="299" t="n"/>
      <c r="E54" s="299" t="n"/>
      <c r="F54" s="299" t="n"/>
    </row>
    <row r="55">
      <c r="A55" s="299" t="n"/>
      <c r="B55" s="299" t="n"/>
      <c r="C55" s="299" t="n"/>
      <c r="D55" s="299" t="n"/>
      <c r="E55" s="299" t="n"/>
      <c r="F55" s="299" t="n"/>
    </row>
    <row r="56">
      <c r="A56" s="299" t="n"/>
      <c r="B56" s="299" t="n"/>
      <c r="C56" s="299" t="n"/>
      <c r="D56" s="299" t="n"/>
      <c r="E56" s="299" t="n"/>
      <c r="F56" s="299" t="n"/>
    </row>
    <row r="57">
      <c r="A57" s="299" t="n"/>
      <c r="B57" s="299" t="n"/>
      <c r="C57" s="299" t="n"/>
      <c r="D57" s="299" t="n"/>
      <c r="E57" s="299" t="n"/>
      <c r="F57" s="299" t="n"/>
    </row>
    <row r="58">
      <c r="A58" s="299" t="n"/>
      <c r="B58" s="299" t="n"/>
      <c r="C58" s="299" t="n"/>
      <c r="D58" s="299" t="n"/>
      <c r="E58" s="299" t="n"/>
      <c r="F58" s="299" t="n"/>
    </row>
    <row r="59">
      <c r="A59" s="299" t="n"/>
      <c r="B59" s="299" t="n"/>
      <c r="C59" s="299" t="n"/>
      <c r="D59" s="299" t="n"/>
      <c r="E59" s="299" t="n"/>
      <c r="F59" s="299" t="n"/>
    </row>
    <row r="60">
      <c r="A60" s="299" t="n"/>
      <c r="B60" s="299" t="n"/>
      <c r="C60" s="299" t="n"/>
      <c r="D60" s="299" t="n"/>
      <c r="E60" s="299" t="n"/>
      <c r="F60" s="299" t="n"/>
    </row>
  </sheetData>
  <mergeCells count="29">
    <mergeCell ref="D13:F13"/>
    <mergeCell ref="A27:F27"/>
    <mergeCell ref="D17:F17"/>
    <mergeCell ref="A12:F12"/>
    <mergeCell ref="D7:F7"/>
    <mergeCell ref="D16:F16"/>
    <mergeCell ref="A2:F2"/>
    <mergeCell ref="A33:F33"/>
    <mergeCell ref="E29:F29"/>
    <mergeCell ref="D18:F18"/>
    <mergeCell ref="E28:F28"/>
    <mergeCell ref="D9:F9"/>
    <mergeCell ref="A4:F4"/>
    <mergeCell ref="D8:F8"/>
    <mergeCell ref="D25:F25"/>
    <mergeCell ref="D15:F15"/>
    <mergeCell ref="E31:F31"/>
    <mergeCell ref="D24:F24"/>
    <mergeCell ref="D14:F14"/>
    <mergeCell ref="E30:F30"/>
    <mergeCell ref="D5:F5"/>
    <mergeCell ref="D23:F23"/>
    <mergeCell ref="D20:F20"/>
    <mergeCell ref="D10:F10"/>
    <mergeCell ref="D19:F19"/>
    <mergeCell ref="A1:F1"/>
    <mergeCell ref="D22:F22"/>
    <mergeCell ref="D21:F21"/>
    <mergeCell ref="D6:F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32" customWidth="1" style="127" min="1" max="1"/>
    <col width="14" customWidth="1" style="127" min="2" max="2"/>
    <col width="14" customWidth="1" style="127" min="3" max="3"/>
    <col width="14" customWidth="1" style="127" min="4" max="4"/>
    <col width="14" customWidth="1" style="127" min="5" max="5"/>
    <col width="24" customWidth="1" style="127" min="6" max="6"/>
  </cols>
  <sheetData>
    <row r="1" ht="32" customHeight="1" s="127">
      <c r="A1" s="297" t="inlineStr">
        <is>
          <t>SPARPLAN &amp; FINANZIELLE SANIERUNG — OLEG KOBER</t>
        </is>
      </c>
      <c r="B1" s="341" t="n"/>
      <c r="C1" s="341" t="n"/>
      <c r="D1" s="341" t="n"/>
      <c r="E1" s="341" t="n"/>
      <c r="F1" s="342" t="n"/>
    </row>
    <row r="2" ht="18" customHeight="1" s="127">
      <c r="A2" s="298" t="inlineStr">
        <is>
          <t>Stand: Juni 2026  ·  Korrekturen eingearbeitet 11.06.2026  ·  Alle Angaben netto</t>
        </is>
      </c>
      <c r="B2" s="341" t="n"/>
      <c r="C2" s="341" t="n"/>
      <c r="D2" s="341" t="n"/>
      <c r="E2" s="341" t="n"/>
      <c r="F2" s="342" t="n"/>
    </row>
    <row r="3">
      <c r="A3" s="299" t="n"/>
      <c r="B3" s="299" t="n"/>
      <c r="C3" s="299" t="n"/>
      <c r="D3" s="299" t="n"/>
      <c r="E3" s="299" t="n"/>
      <c r="F3" s="299" t="n"/>
    </row>
    <row r="4" ht="22" customHeight="1" s="127">
      <c r="A4" s="300" t="inlineStr">
        <is>
          <t>1  MONATLICHES EINKOMMEN — BESTÄTIGTER STAND</t>
        </is>
      </c>
      <c r="B4" s="341" t="n"/>
      <c r="C4" s="341" t="n"/>
      <c r="D4" s="341" t="n"/>
      <c r="E4" s="341" t="n"/>
      <c r="F4" s="342" t="n"/>
    </row>
    <row r="5" ht="18" customHeight="1" s="127">
      <c r="A5" s="301" t="inlineStr">
        <is>
          <t>Einkommensquelle</t>
        </is>
      </c>
      <c r="B5" s="301" t="inlineStr">
        <is>
          <t>Monatlich</t>
        </is>
      </c>
      <c r="C5" s="301" t="inlineStr">
        <is>
          <t>Anmerkung</t>
        </is>
      </c>
      <c r="D5" s="341" t="n"/>
      <c r="E5" s="341" t="n"/>
      <c r="F5" s="342" t="n"/>
    </row>
    <row r="6" ht="18" customHeight="1" s="127">
      <c r="A6" s="302" t="inlineStr">
        <is>
          <t>Doctolib Fixgehalt netto</t>
        </is>
      </c>
      <c r="B6" s="303" t="inlineStr">
        <is>
          <t>3.638,82 €</t>
        </is>
      </c>
      <c r="C6" s="304" t="inlineStr">
        <is>
          <t>BESTÄTIGT — Kontoauszüge Jan–Mai 2026</t>
        </is>
      </c>
      <c r="D6" s="341" t="n"/>
      <c r="E6" s="341" t="n"/>
      <c r="F6" s="342" t="n"/>
    </row>
    <row r="7" ht="18" customHeight="1" s="127">
      <c r="A7" s="305" t="inlineStr">
        <is>
          <t>Doctolib Provision (ø/Monat)</t>
        </is>
      </c>
      <c r="B7" s="306" t="inlineStr">
        <is>
          <t>+1.537,00 €</t>
        </is>
      </c>
      <c r="C7" s="307" t="inlineStr">
        <is>
          <t>Quartalsprovision Q1: 4.611€ netto · Apr: 8.249€ (einmalig hoch)</t>
        </is>
      </c>
      <c r="D7" s="341" t="n"/>
      <c r="E7" s="341" t="n"/>
      <c r="F7" s="342" t="n"/>
    </row>
    <row r="8" ht="18" customHeight="1" s="127">
      <c r="A8" s="302" t="inlineStr">
        <is>
          <t>Laura Mietbeitrag</t>
        </is>
      </c>
      <c r="B8" s="303" t="inlineStr">
        <is>
          <t>+603,69 €</t>
        </is>
      </c>
      <c r="C8" s="304" t="inlineStr">
        <is>
          <t>Kostenteilung WG — kein Mietgewinn</t>
        </is>
      </c>
      <c r="D8" s="341" t="n"/>
      <c r="E8" s="341" t="n"/>
      <c r="F8" s="342" t="n"/>
    </row>
    <row r="9" ht="18" customHeight="1" s="127">
      <c r="A9" s="305" t="inlineStr">
        <is>
          <t>Jannik WG-Kostenteilung</t>
        </is>
      </c>
      <c r="B9" s="306" t="inlineStr">
        <is>
          <t>+700,00 €</t>
        </is>
      </c>
      <c r="C9" s="307" t="inlineStr">
        <is>
          <t>Mietteilung, kein steuerpflichtiger Gewinn (bestätigt)</t>
        </is>
      </c>
      <c r="D9" s="341" t="n"/>
      <c r="E9" s="341" t="n"/>
      <c r="F9" s="342" t="n"/>
    </row>
    <row r="10" ht="18" customHeight="1" s="127">
      <c r="A10" s="302" t="inlineStr">
        <is>
          <t>Mangopay / the-mochi-s</t>
        </is>
      </c>
      <c r="B10" s="303" t="inlineStr">
        <is>
          <t>+~50,00 €</t>
        </is>
      </c>
      <c r="C10" s="304" t="inlineStr">
        <is>
          <t>Plattform-Auszahlungen, unregelmäßig 11–55€/Mo</t>
        </is>
      </c>
      <c r="D10" s="341" t="n"/>
      <c r="E10" s="341" t="n"/>
      <c r="F10" s="342" t="n"/>
    </row>
    <row r="11" ht="20" customHeight="1" s="127">
      <c r="A11" s="308" t="inlineStr">
        <is>
          <t>GESAMT EINNAHMEN (Monat)</t>
        </is>
      </c>
      <c r="B11" s="309" t="inlineStr">
        <is>
          <t>~6.530,00 €</t>
        </is>
      </c>
      <c r="C11" s="310" t="inlineStr">
        <is>
          <t>Ø-Monat inkl. anteiliger Provision</t>
        </is>
      </c>
      <c r="D11" s="341" t="n"/>
      <c r="E11" s="341" t="n"/>
      <c r="F11" s="342" t="n"/>
    </row>
    <row r="12">
      <c r="A12" s="299" t="n"/>
      <c r="B12" s="299" t="n"/>
      <c r="C12" s="299" t="n"/>
      <c r="D12" s="299" t="n"/>
      <c r="E12" s="299" t="n"/>
      <c r="F12" s="299" t="n"/>
    </row>
    <row r="13" ht="22" customHeight="1" s="127">
      <c r="A13" s="300" t="inlineStr">
        <is>
          <t>2  MONATLICHE FIXAUSGABEN</t>
        </is>
      </c>
      <c r="B13" s="341" t="n"/>
      <c r="C13" s="341" t="n"/>
      <c r="D13" s="341" t="n"/>
      <c r="E13" s="341" t="n"/>
      <c r="F13" s="342" t="n"/>
    </row>
    <row r="14" ht="18" customHeight="1" s="127">
      <c r="A14" s="301" t="inlineStr">
        <is>
          <t>Ausgabenposten</t>
        </is>
      </c>
      <c r="B14" s="301" t="inlineStr">
        <is>
          <t>Betrag</t>
        </is>
      </c>
      <c r="C14" s="301" t="inlineStr">
        <is>
          <t>Kategorie</t>
        </is>
      </c>
      <c r="D14" s="301" t="inlineStr">
        <is>
          <t>Anmerkung</t>
        </is>
      </c>
      <c r="E14" s="341" t="n"/>
      <c r="F14" s="342" t="n"/>
    </row>
    <row r="15" ht="18" customHeight="1" s="127">
      <c r="A15" s="305" t="inlineStr">
        <is>
          <t>GSW Miete gesamt (inkl. NK)</t>
        </is>
      </c>
      <c r="B15" s="311" t="inlineStr">
        <is>
          <t>-987,09 €</t>
        </is>
      </c>
      <c r="C15" s="312" t="inlineStr">
        <is>
          <t>Wohnen</t>
        </is>
      </c>
      <c r="D15" s="307" t="inlineStr">
        <is>
          <t>Dauerauftrag bestätigt</t>
        </is>
      </c>
      <c r="E15" s="341" t="n"/>
      <c r="F15" s="342" t="n"/>
    </row>
    <row r="16" ht="18" customHeight="1" s="127">
      <c r="A16" s="302" t="inlineStr">
        <is>
          <t>VW-Bank Kredit</t>
        </is>
      </c>
      <c r="B16" s="313" t="inlineStr">
        <is>
          <t>-681,57 €</t>
        </is>
      </c>
      <c r="C16" s="314" t="inlineStr">
        <is>
          <t>Kredit</t>
        </is>
      </c>
      <c r="D16" s="304" t="inlineStr">
        <is>
          <t>Restschuld ~18.177€ nach Jun-Abbuchung · bis Nov 2028</t>
        </is>
      </c>
      <c r="E16" s="341" t="n"/>
      <c r="F16" s="342" t="n"/>
    </row>
    <row r="17" ht="18" customHeight="1" s="127">
      <c r="A17" s="305" t="inlineStr">
        <is>
          <t>BU-Versicherung</t>
        </is>
      </c>
      <c r="B17" s="311" t="inlineStr">
        <is>
          <t>-126,17 €</t>
        </is>
      </c>
      <c r="C17" s="312" t="inlineStr">
        <is>
          <t>Versicherung</t>
        </is>
      </c>
      <c r="D17" s="307" t="inlineStr">
        <is>
          <t>Berufsunfähigkeit</t>
        </is>
      </c>
      <c r="E17" s="341" t="n"/>
      <c r="F17" s="342" t="n"/>
    </row>
    <row r="18" ht="18" customHeight="1" s="127">
      <c r="A18" s="302" t="inlineStr">
        <is>
          <t>John Reed</t>
        </is>
      </c>
      <c r="B18" s="313" t="inlineStr">
        <is>
          <t>-50,00 €</t>
        </is>
      </c>
      <c r="C18" s="314" t="inlineStr">
        <is>
          <t>Lifestyle</t>
        </is>
      </c>
      <c r="D18" s="304" t="inlineStr">
        <is>
          <t>Ab Mai 2026 erhöht von 40€</t>
        </is>
      </c>
      <c r="E18" s="341" t="n"/>
      <c r="F18" s="342" t="n"/>
    </row>
    <row r="19" ht="18" customHeight="1" s="127">
      <c r="A19" s="305" t="inlineStr">
        <is>
          <t>Kieferorthopädie (Dr. Wiemann)</t>
        </is>
      </c>
      <c r="B19" s="311" t="inlineStr">
        <is>
          <t>-176,53 €</t>
        </is>
      </c>
      <c r="C19" s="312" t="inlineStr">
        <is>
          <t>Gesundheit</t>
        </is>
      </c>
      <c r="D19" s="307" t="inlineStr">
        <is>
          <t>Ratenzahlung — befristet</t>
        </is>
      </c>
      <c r="E19" s="341" t="n"/>
      <c r="F19" s="342" t="n"/>
    </row>
    <row r="20" ht="18" customHeight="1" s="127">
      <c r="A20" s="302" t="inlineStr">
        <is>
          <t>Hyla Finanzierung</t>
        </is>
      </c>
      <c r="B20" s="313" t="inlineStr">
        <is>
          <t>-19,80 €</t>
        </is>
      </c>
      <c r="C20" s="314" t="inlineStr">
        <is>
          <t>Haushalt</t>
        </is>
      </c>
      <c r="D20" s="304" t="inlineStr">
        <is>
          <t>Luftreiniger · bereits bezahlt — läuft noch aus</t>
        </is>
      </c>
      <c r="E20" s="341" t="n"/>
      <c r="F20" s="342" t="n"/>
    </row>
    <row r="21" ht="18" customHeight="1" s="127">
      <c r="A21" s="305" t="inlineStr">
        <is>
          <t>Wagglz GmbH Darlehnen</t>
        </is>
      </c>
      <c r="B21" s="311" t="inlineStr">
        <is>
          <t>-200,00 €</t>
        </is>
      </c>
      <c r="C21" s="312" t="inlineStr">
        <is>
          <t>Unternehmen</t>
        </is>
      </c>
      <c r="D21" s="307" t="inlineStr">
        <is>
          <t>Variabel 200–800€/Mo · Gesellschafterdarlehnen</t>
        </is>
      </c>
      <c r="E21" s="341" t="n"/>
      <c r="F21" s="342" t="n"/>
    </row>
    <row r="22" ht="18" customHeight="1" s="127">
      <c r="A22" s="302" t="inlineStr">
        <is>
          <t>Dispo-Zinsen (Ø)</t>
        </is>
      </c>
      <c r="B22" s="313" t="inlineStr">
        <is>
          <t>-11,00 €</t>
        </is>
      </c>
      <c r="C22" s="314" t="inlineStr">
        <is>
          <t>Zinsen</t>
        </is>
      </c>
      <c r="D22" s="304" t="inlineStr">
        <is>
          <t>Consorsbank 9,40% p.a. auf ~1.405€ Dispo</t>
        </is>
      </c>
      <c r="E22" s="341" t="n"/>
      <c r="F22" s="342" t="n"/>
    </row>
    <row r="23" ht="18" customHeight="1" s="127">
      <c r="A23" s="305" t="inlineStr">
        <is>
          <t>Streaming/Abos</t>
        </is>
      </c>
      <c r="B23" s="311" t="inlineStr">
        <is>
          <t>-35,00 €</t>
        </is>
      </c>
      <c r="C23" s="312" t="inlineStr">
        <is>
          <t>Abo</t>
        </is>
      </c>
      <c r="D23" s="307" t="inlineStr">
        <is>
          <t>Apple, Sonstiges</t>
        </is>
      </c>
      <c r="E23" s="341" t="n"/>
      <c r="F23" s="342" t="n"/>
    </row>
    <row r="24" ht="20" customHeight="1" s="127">
      <c r="A24" s="315" t="inlineStr">
        <is>
          <t>GESAMT FIXAUSGABEN</t>
        </is>
      </c>
      <c r="B24" s="316" t="inlineStr">
        <is>
          <t>-2.287,16 €</t>
        </is>
      </c>
      <c r="C24" s="317" t="inlineStr">
        <is>
          <t>Monatliche Verpflichtungen (ohne variable Ausgaben)</t>
        </is>
      </c>
      <c r="D24" s="341" t="n"/>
      <c r="E24" s="341" t="n"/>
      <c r="F24" s="342" t="n"/>
    </row>
    <row r="25">
      <c r="A25" s="299" t="n"/>
      <c r="B25" s="299" t="n"/>
      <c r="C25" s="299" t="n"/>
      <c r="D25" s="299" t="n"/>
      <c r="E25" s="299" t="n"/>
      <c r="F25" s="299" t="n"/>
    </row>
    <row r="26" ht="22" customHeight="1" s="127">
      <c r="A26" s="300" t="inlineStr">
        <is>
          <t>3  MONATLICHER CASHFLOW</t>
        </is>
      </c>
      <c r="B26" s="341" t="n"/>
      <c r="C26" s="341" t="n"/>
      <c r="D26" s="341" t="n"/>
      <c r="E26" s="341" t="n"/>
      <c r="F26" s="342" t="n"/>
    </row>
    <row r="27" ht="18" customHeight="1" s="127">
      <c r="A27" s="301" t="inlineStr">
        <is>
          <t>Position</t>
        </is>
      </c>
      <c r="B27" s="301" t="inlineStr">
        <is>
          <t>Betrag</t>
        </is>
      </c>
      <c r="C27" s="301" t="inlineStr">
        <is>
          <t>Bewertung</t>
        </is>
      </c>
      <c r="D27" s="341" t="n"/>
      <c r="E27" s="341" t="n"/>
      <c r="F27" s="342" t="n"/>
    </row>
    <row r="28" ht="18" customHeight="1" s="127">
      <c r="A28" s="302" t="inlineStr">
        <is>
          <t>Einnahmen gesamt (Ø)</t>
        </is>
      </c>
      <c r="B28" s="319" t="inlineStr">
        <is>
          <t>+6.530 €</t>
        </is>
      </c>
      <c r="C28" s="304" t="inlineStr">
        <is>
          <t>Fixgehalt + Ø-Provision + WG-Teilungen</t>
        </is>
      </c>
      <c r="D28" s="341" t="n"/>
      <c r="E28" s="341" t="n"/>
      <c r="F28" s="342" t="n"/>
    </row>
    <row r="29" ht="18" customHeight="1" s="127">
      <c r="A29" s="305" t="inlineStr">
        <is>
          <t>Fixausgaben</t>
        </is>
      </c>
      <c r="B29" s="318" t="inlineStr">
        <is>
          <t>-2.287 €</t>
        </is>
      </c>
      <c r="C29" s="307" t="inlineStr">
        <is>
          <t>Alle obligatorischen Posten</t>
        </is>
      </c>
      <c r="D29" s="341" t="n"/>
      <c r="E29" s="341" t="n"/>
      <c r="F29" s="342" t="n"/>
    </row>
    <row r="30" ht="18" customHeight="1" s="127">
      <c r="A30" s="302" t="inlineStr">
        <is>
          <t>Variable Ausgaben (Schätz.)</t>
        </is>
      </c>
      <c r="B30" s="319" t="inlineStr">
        <is>
          <t>-1.500 €</t>
        </is>
      </c>
      <c r="C30" s="304" t="inlineStr">
        <is>
          <t>Lebensmittel, Restaurants, Transport, Lifestyle</t>
        </is>
      </c>
      <c r="D30" s="341" t="n"/>
      <c r="E30" s="341" t="n"/>
      <c r="F30" s="342" t="n"/>
    </row>
    <row r="31" ht="18" customHeight="1" s="127">
      <c r="A31" s="308" t="inlineStr">
        <is>
          <t>FREI VERFÜGBAR</t>
        </is>
      </c>
      <c r="B31" s="309" t="inlineStr">
        <is>
          <t>+2.743 €</t>
        </is>
      </c>
      <c r="C31" s="310" t="inlineStr">
        <is>
          <t>Vor Sparen — solide Basis!</t>
        </is>
      </c>
      <c r="D31" s="341" t="n"/>
      <c r="E31" s="341" t="n"/>
      <c r="F31" s="342" t="n"/>
    </row>
    <row r="32" ht="18" customHeight="1" s="127">
      <c r="A32" s="321" t="inlineStr">
        <is>
          <t>Sparrate IST</t>
        </is>
      </c>
      <c r="B32" s="349" t="inlineStr">
        <is>
          <t>~0 €</t>
        </is>
      </c>
      <c r="C32" s="324" t="inlineStr">
        <is>
          <t>Kein systematisches Sparen erkennbar</t>
        </is>
      </c>
      <c r="D32" s="341" t="n"/>
      <c r="E32" s="341" t="n"/>
      <c r="F32" s="342" t="n"/>
    </row>
    <row r="33" ht="18" customHeight="1" s="127">
      <c r="A33" s="305" t="inlineStr">
        <is>
          <t>Sparrate ZIEL Phase 1</t>
        </is>
      </c>
      <c r="B33" s="318" t="inlineStr">
        <is>
          <t>+500 €</t>
        </is>
      </c>
      <c r="C33" s="307" t="inlineStr">
        <is>
          <t>Realistischer Start: Notfallpuffer aufbauen</t>
        </is>
      </c>
      <c r="D33" s="341" t="n"/>
      <c r="E33" s="341" t="n"/>
      <c r="F33" s="342" t="n"/>
    </row>
    <row r="34">
      <c r="A34" s="299" t="n"/>
      <c r="B34" s="299" t="n"/>
      <c r="C34" s="299" t="n"/>
      <c r="D34" s="299" t="n"/>
      <c r="E34" s="299" t="n"/>
      <c r="F34" s="299" t="n"/>
    </row>
    <row r="35" ht="22" customHeight="1" s="127">
      <c r="A35" s="300" t="inlineStr">
        <is>
          <t>4  SPARPLAN — 3-PHASEN-MODELL</t>
        </is>
      </c>
      <c r="B35" s="341" t="n"/>
      <c r="C35" s="341" t="n"/>
      <c r="D35" s="341" t="n"/>
      <c r="E35" s="341" t="n"/>
      <c r="F35" s="342" t="n"/>
    </row>
    <row r="36" ht="18" customHeight="1" s="127">
      <c r="A36" s="301" t="inlineStr">
        <is>
          <t>Phase</t>
        </is>
      </c>
      <c r="B36" s="301" t="inlineStr">
        <is>
          <t>Zeitraum</t>
        </is>
      </c>
      <c r="C36" s="301" t="inlineStr">
        <is>
          <t>Sparrate</t>
        </is>
      </c>
      <c r="D36" s="301" t="inlineStr">
        <is>
          <t>Ziel</t>
        </is>
      </c>
      <c r="E36" s="301" t="inlineStr">
        <is>
          <t>Maßnahmen</t>
        </is>
      </c>
      <c r="F36" s="342" t="n"/>
    </row>
    <row r="37" ht="36" customHeight="1" s="127">
      <c r="A37" s="325" t="inlineStr">
        <is>
          <t>PHASE 1
Notfallpuffer</t>
        </is>
      </c>
      <c r="B37" s="326" t="inlineStr">
        <is>
          <t>Jun–Nov 2026</t>
        </is>
      </c>
      <c r="C37" s="327" t="inlineStr">
        <is>
          <t>+500 €/Mo</t>
        </is>
      </c>
      <c r="D37" s="328" t="inlineStr">
        <is>
          <t>3.000€ Notgroschen</t>
        </is>
      </c>
      <c r="E37" s="330" t="inlineStr">
        <is>
          <t>Dispo abbauen · Wagglz-Darlehnen auf Min. reduzieren</t>
        </is>
      </c>
      <c r="F37" s="342" t="n"/>
    </row>
    <row r="38" ht="36" customHeight="1" s="127">
      <c r="A38" s="325" t="inlineStr">
        <is>
          <t>PHASE 2
Schuldenabbau</t>
        </is>
      </c>
      <c r="B38" s="326" t="inlineStr">
        <is>
          <t>Dez 2026–Nov 2028</t>
        </is>
      </c>
      <c r="C38" s="327" t="inlineStr">
        <is>
          <t>+800 €/Mo</t>
        </is>
      </c>
      <c r="D38" s="328" t="inlineStr">
        <is>
          <t>VW-Kredit läuft aus Nov 2028</t>
        </is>
      </c>
      <c r="E38" s="330" t="inlineStr">
        <is>
          <t>681€ Kredit tilgt regulär aus · Café-Business aufbauen</t>
        </is>
      </c>
      <c r="F38" s="342" t="n"/>
    </row>
    <row r="39" ht="36" customHeight="1" s="127">
      <c r="A39" s="325" t="inlineStr">
        <is>
          <t>PHASE 3
Vermögensaufbau</t>
        </is>
      </c>
      <c r="B39" s="326" t="inlineStr">
        <is>
          <t>Ab Dez 2028</t>
        </is>
      </c>
      <c r="C39" s="327" t="inlineStr">
        <is>
          <t>+1.500 €/Mo</t>
        </is>
      </c>
      <c r="D39" s="328" t="inlineStr">
        <is>
          <t>ETF + Café-Reinvest</t>
        </is>
      </c>
      <c r="E39" s="330" t="inlineStr">
        <is>
          <t>681€ Kreditrate → direkt in ETF-Sparplan · Café skalieren</t>
        </is>
      </c>
      <c r="F39" s="342" t="n"/>
    </row>
    <row r="40">
      <c r="A40" s="299" t="n"/>
      <c r="B40" s="299" t="n"/>
      <c r="C40" s="299" t="n"/>
      <c r="D40" s="299" t="n"/>
      <c r="E40" s="299" t="n"/>
      <c r="F40" s="299" t="n"/>
    </row>
    <row r="41" ht="22" customHeight="1" s="127">
      <c r="A41" s="300" t="inlineStr">
        <is>
          <t>5  SOFORTMASSNAHMEN — NÄCHSTE 30 TAGE (korrigiert)</t>
        </is>
      </c>
      <c r="B41" s="341" t="n"/>
      <c r="C41" s="341" t="n"/>
      <c r="D41" s="341" t="n"/>
      <c r="E41" s="341" t="n"/>
      <c r="F41" s="342" t="n"/>
    </row>
    <row r="42" ht="18" customHeight="1" s="127">
      <c r="A42" s="301" t="inlineStr">
        <is>
          <t>Maßnahme</t>
        </is>
      </c>
      <c r="B42" s="301" t="inlineStr">
        <is>
          <t>Priorität</t>
        </is>
      </c>
      <c r="C42" s="301" t="inlineStr">
        <is>
          <t>Warum</t>
        </is>
      </c>
      <c r="D42" s="342" t="n"/>
      <c r="E42" s="301" t="inlineStr">
        <is>
          <t>Deadline</t>
        </is>
      </c>
      <c r="F42" s="301" t="inlineStr">
        <is>
          <t>Status</t>
        </is>
      </c>
    </row>
    <row r="43" ht="22" customHeight="1" s="127">
      <c r="A43" s="331" t="inlineStr">
        <is>
          <t>Wagglz Jahresabschluss 2024 beauftragen</t>
        </is>
      </c>
      <c r="B43" s="332" t="inlineStr">
        <is>
          <t>🔴 KRITISCH</t>
        </is>
      </c>
      <c r="C43" s="317" t="inlineStr">
        <is>
          <t>Offenlegungspflicht &amp; Insolvenzprüfung nicht möglich ohne Bilanz</t>
        </is>
      </c>
      <c r="D43" s="342" t="n"/>
      <c r="E43" s="333" t="inlineStr">
        <is>
          <t>31.07.2026</t>
        </is>
      </c>
      <c r="F43" s="332" t="inlineStr">
        <is>
          <t>OFFEN</t>
        </is>
      </c>
    </row>
    <row r="44" ht="22" customHeight="1" s="127">
      <c r="A44" s="331" t="inlineStr">
        <is>
          <t>Wagglz GmbH Bankstatus prüfen</t>
        </is>
      </c>
      <c r="B44" s="332" t="inlineStr">
        <is>
          <t>🔴 KRITISCH</t>
        </is>
      </c>
      <c r="C44" s="317" t="inlineStr">
        <is>
          <t>Zahlungsunfähigkeit bestätigt — 21-Tage-Insolvenzfrist prüfen!</t>
        </is>
      </c>
      <c r="D44" s="342" t="n"/>
      <c r="E44" s="333" t="inlineStr">
        <is>
          <t>Sofort</t>
        </is>
      </c>
      <c r="F44" s="332" t="inlineStr">
        <is>
          <t>OFFEN</t>
        </is>
      </c>
    </row>
    <row r="45" ht="22" customHeight="1" s="127">
      <c r="A45" s="334" t="inlineStr">
        <is>
          <t>Café-Plan mit Hai konkretisieren</t>
        </is>
      </c>
      <c r="B45" s="323" t="inlineStr">
        <is>
          <t>🟡 WICHTIG</t>
        </is>
      </c>
      <c r="C45" s="324" t="inlineStr">
        <is>
          <t>Einzige realistische Umsatzquelle für Wagglz — Businessplan?</t>
        </is>
      </c>
      <c r="D45" s="342" t="n"/>
      <c r="E45" s="335" t="inlineStr">
        <is>
          <t>Sep 2026</t>
        </is>
      </c>
      <c r="F45" s="323" t="inlineStr">
        <is>
          <t>PLANUNG</t>
        </is>
      </c>
    </row>
    <row r="46" ht="22" customHeight="1" s="127">
      <c r="A46" s="334" t="inlineStr">
        <is>
          <t>Dispo von -1.405€ reduzieren</t>
        </is>
      </c>
      <c r="B46" s="323" t="inlineStr">
        <is>
          <t>🟡 WICHTIG</t>
        </is>
      </c>
      <c r="C46" s="324" t="inlineStr">
        <is>
          <t>9,40% p.a. Kosten — 1 Provisionsmonat reicht zum Ausgleich</t>
        </is>
      </c>
      <c r="D46" s="342" t="n"/>
      <c r="E46" s="335" t="inlineStr">
        <is>
          <t>Jul 2026</t>
        </is>
      </c>
      <c r="F46" s="323" t="inlineStr">
        <is>
          <t>LAUFEND</t>
        </is>
      </c>
    </row>
    <row r="47" ht="22" customHeight="1" s="127">
      <c r="A47" s="302" t="inlineStr">
        <is>
          <t>VW-Bank: 29 Raten à 681,57 weiterführen</t>
        </is>
      </c>
      <c r="B47" s="314" t="inlineStr">
        <is>
          <t>⚪ INFO</t>
        </is>
      </c>
      <c r="C47" s="304" t="inlineStr">
        <is>
          <t>Reguläre Tilgung — kein Handlungsbedarf · Restschuld ~18.858€</t>
        </is>
      </c>
      <c r="D47" s="342" t="n"/>
      <c r="E47" s="336" t="inlineStr">
        <is>
          <t>Nov 2028</t>
        </is>
      </c>
      <c r="F47" s="314" t="inlineStr">
        <is>
          <t>ON TRACK</t>
        </is>
      </c>
    </row>
    <row r="48" ht="22" customHeight="1" s="127">
      <c r="A48" s="334" t="inlineStr">
        <is>
          <t>Krypto-Steuer 2024: steuerfreier Verkauf?</t>
        </is>
      </c>
      <c r="B48" s="323" t="inlineStr">
        <is>
          <t>🟡 WICHTIG</t>
        </is>
      </c>
      <c r="C48" s="324" t="inlineStr">
        <is>
          <t>&gt;1 Jahr Haltedauer bestätigt → §23 EStG steuerfrei · SP prüfen</t>
        </is>
      </c>
      <c r="D48" s="342" t="n"/>
      <c r="E48" s="335" t="inlineStr">
        <is>
          <t>ESt 2024</t>
        </is>
      </c>
      <c r="F48" s="323" t="inlineStr">
        <is>
          <t>KLÄREN</t>
        </is>
      </c>
    </row>
    <row r="49" ht="22" customHeight="1" s="127">
      <c r="A49" s="334" t="inlineStr">
        <is>
          <t>OK Capital UG Löschung einleiten</t>
        </is>
      </c>
      <c r="B49" s="323" t="inlineStr">
        <is>
          <t>🟡 WICHTIG</t>
        </is>
      </c>
      <c r="C49" s="324" t="inlineStr">
        <is>
          <t>Laufende Steuerberatungskosten ohne Gegenwert</t>
        </is>
      </c>
      <c r="D49" s="342" t="n"/>
      <c r="E49" s="335" t="inlineStr">
        <is>
          <t>Q3 2026</t>
        </is>
      </c>
      <c r="F49" s="323" t="inlineStr">
        <is>
          <t>OFFEN</t>
        </is>
      </c>
    </row>
    <row r="50">
      <c r="A50" s="299" t="n"/>
      <c r="B50" s="299" t="n"/>
      <c r="C50" s="299" t="n"/>
      <c r="D50" s="299" t="n"/>
      <c r="E50" s="299" t="n"/>
      <c r="F50" s="299" t="n"/>
    </row>
    <row r="51" ht="22" customHeight="1" s="127">
      <c r="A51" s="300" t="inlineStr">
        <is>
          <t>6  NETTOVERMÖGEN AKTUELL — KORRIGIERTER STAND</t>
        </is>
      </c>
      <c r="B51" s="341" t="n"/>
      <c r="C51" s="341" t="n"/>
      <c r="D51" s="341" t="n"/>
      <c r="E51" s="341" t="n"/>
      <c r="F51" s="342" t="n"/>
    </row>
    <row r="52" ht="18" customHeight="1" s="127">
      <c r="A52" s="301" t="inlineStr">
        <is>
          <t>Position</t>
        </is>
      </c>
      <c r="B52" s="301" t="inlineStr">
        <is>
          <t>Wert</t>
        </is>
      </c>
      <c r="C52" s="301" t="inlineStr">
        <is>
          <t>Anmerkung</t>
        </is>
      </c>
      <c r="D52" s="341" t="n"/>
      <c r="E52" s="341" t="n"/>
      <c r="F52" s="342" t="n"/>
    </row>
    <row r="53" ht="20" customHeight="1" s="127">
      <c r="A53" s="300" t="inlineStr">
        <is>
          <t>── AKTIVA ──</t>
        </is>
      </c>
      <c r="B53" s="337" t="inlineStr"/>
      <c r="C53" s="338" t="inlineStr"/>
      <c r="D53" s="341" t="n"/>
      <c r="E53" s="341" t="n"/>
      <c r="F53" s="342" t="n"/>
    </row>
    <row r="54" ht="20" customHeight="1" s="127">
      <c r="A54" s="302" t="inlineStr">
        <is>
          <t>Consorsbank Girokonto</t>
        </is>
      </c>
      <c r="B54" s="313" t="inlineStr">
        <is>
          <t>-1.405,00 €</t>
        </is>
      </c>
      <c r="C54" s="304" t="inlineStr">
        <is>
          <t>Aktueller Stand (Dispo genutzt)</t>
        </is>
      </c>
      <c r="D54" s="341" t="n"/>
      <c r="E54" s="341" t="n"/>
      <c r="F54" s="342" t="n"/>
    </row>
    <row r="55" ht="20" customHeight="1" s="127">
      <c r="A55" s="305" t="inlineStr">
        <is>
          <t>Consorsbank Tagesgeld</t>
        </is>
      </c>
      <c r="B55" s="306" t="inlineStr">
        <is>
          <t>+1,10 €</t>
        </is>
      </c>
      <c r="C55" s="307" t="inlineStr">
        <is>
          <t>Ab 16.06.2026: 1,00% p.a.</t>
        </is>
      </c>
      <c r="D55" s="341" t="n"/>
      <c r="E55" s="341" t="n"/>
      <c r="F55" s="342" t="n"/>
    </row>
    <row r="56" ht="20" customHeight="1" s="127">
      <c r="A56" s="302" t="inlineStr">
        <is>
          <t>IOTA (2.022 MIOTA)</t>
        </is>
      </c>
      <c r="B56" s="319" t="inlineStr">
        <is>
          <t>~2.000–4.000 €</t>
        </is>
      </c>
      <c r="C56" s="304" t="inlineStr">
        <is>
          <t>Haltedauer &gt;1 Jahr → §23 EStG steuerfrei bei Verkauf</t>
        </is>
      </c>
      <c r="D56" s="341" t="n"/>
      <c r="E56" s="341" t="n"/>
      <c r="F56" s="342" t="n"/>
    </row>
    <row r="57" ht="20" customHeight="1" s="127">
      <c r="A57" s="305" t="inlineStr">
        <is>
          <t>Gesellschafterdarlehlen Wagglz</t>
        </is>
      </c>
      <c r="B57" s="318" t="inlineStr">
        <is>
          <t>~8.000–15.000 €</t>
        </is>
      </c>
      <c r="C57" s="307" t="inlineStr">
        <is>
          <t>Buchforderung — Werthaltigkeit von Café-Plan abhängig</t>
        </is>
      </c>
      <c r="D57" s="341" t="n"/>
      <c r="E57" s="341" t="n"/>
      <c r="F57" s="342" t="n"/>
    </row>
    <row r="58" ht="20" customHeight="1" s="127">
      <c r="A58" s="300" t="inlineStr">
        <is>
          <t>── PASSIVA ──</t>
        </is>
      </c>
      <c r="B58" s="337" t="inlineStr"/>
      <c r="C58" s="338" t="inlineStr"/>
      <c r="D58" s="341" t="n"/>
      <c r="E58" s="341" t="n"/>
      <c r="F58" s="342" t="n"/>
    </row>
    <row r="59" ht="20" customHeight="1" s="127">
      <c r="A59" s="305" t="inlineStr">
        <is>
          <t>VW-Bank Kredit (Restschuld)</t>
        </is>
      </c>
      <c r="B59" s="311" t="inlineStr">
        <is>
          <t>-18.858 €</t>
        </is>
      </c>
      <c r="C59" s="307" t="inlineStr">
        <is>
          <t>29 Raten à 681,57€ · läuft bis Nov 2028</t>
        </is>
      </c>
      <c r="D59" s="341" t="n"/>
      <c r="E59" s="341" t="n"/>
      <c r="F59" s="342" t="n"/>
    </row>
    <row r="60" ht="20" customHeight="1" s="127">
      <c r="A60" s="302" t="inlineStr">
        <is>
          <t>Consorsbank Dispo</t>
        </is>
      </c>
      <c r="B60" s="313" t="inlineStr">
        <is>
          <t>-1.405 €</t>
        </is>
      </c>
      <c r="C60" s="304" t="inlineStr">
        <is>
          <t>9,40% p.a. — sollte nächsten Monat ausgeglichen sein</t>
        </is>
      </c>
      <c r="D60" s="341" t="n"/>
      <c r="E60" s="341" t="n"/>
      <c r="F60" s="342" t="n"/>
    </row>
    <row r="61" ht="20" customHeight="1" s="127">
      <c r="A61" s="339" t="inlineStr">
        <is>
          <t>── NETTOVERMÖGEN ──</t>
        </is>
      </c>
      <c r="B61" s="340" t="inlineStr">
        <is>
          <t>ca. -15.000 bis -12.000 €</t>
        </is>
      </c>
      <c r="C61" s="338" t="inlineStr">
        <is>
          <t>Ohne Café-Upside · mit IOTA-Liquidierung besser</t>
        </is>
      </c>
      <c r="D61" s="341" t="n"/>
      <c r="E61" s="341" t="n"/>
      <c r="F61" s="342" t="n"/>
    </row>
    <row r="62">
      <c r="A62" s="299" t="n"/>
      <c r="B62" s="299" t="n"/>
      <c r="C62" s="299" t="n"/>
      <c r="D62" s="299" t="n"/>
      <c r="E62" s="299" t="n"/>
      <c r="F62" s="299" t="n"/>
    </row>
    <row r="63" ht="22" customHeight="1" s="127">
      <c r="A63" s="300" t="inlineStr">
        <is>
          <t>7  WAGGLZ CAFÉ-STRATEGIE (Zukunftsszenario)</t>
        </is>
      </c>
      <c r="B63" s="341" t="n"/>
      <c r="C63" s="341" t="n"/>
      <c r="D63" s="341" t="n"/>
      <c r="E63" s="341" t="n"/>
      <c r="F63" s="342" t="n"/>
    </row>
    <row r="64" ht="22" customHeight="1" s="127">
      <c r="A64" s="350" t="inlineStr">
        <is>
          <t>Geschäftsmodell</t>
        </is>
      </c>
      <c r="B64" s="302" t="inlineStr">
        <is>
          <t>Café mit Partner 'Hai' — Wagglz GmbH als Betreibergesellschaft</t>
        </is>
      </c>
      <c r="C64" s="341" t="n"/>
      <c r="D64" s="341" t="n"/>
      <c r="E64" s="341" t="n"/>
      <c r="F64" s="342" t="n"/>
    </row>
    <row r="65" ht="22" customHeight="1" s="127">
      <c r="A65" s="351" t="inlineStr">
        <is>
          <t>Vorteil</t>
        </is>
      </c>
      <c r="B65" s="305" t="inlineStr">
        <is>
          <t>Vorhandene GmbH-Struktur nutzbar · Verlustvorträge aus 2024 können genutzt werden</t>
        </is>
      </c>
      <c r="C65" s="341" t="n"/>
      <c r="D65" s="341" t="n"/>
      <c r="E65" s="341" t="n"/>
      <c r="F65" s="342" t="n"/>
    </row>
    <row r="66" ht="22" customHeight="1" s="127">
      <c r="A66" s="350" t="inlineStr">
        <is>
          <t>Finanzierungsbedarf</t>
        </is>
      </c>
      <c r="B66" s="302" t="inlineStr">
        <is>
          <t>Investitionsbedarf schätzen: Umbau, Equipment, Kaution, Betriebsmittel (typisch 30.000–80.000€)</t>
        </is>
      </c>
      <c r="C66" s="341" t="n"/>
      <c r="D66" s="341" t="n"/>
      <c r="E66" s="341" t="n"/>
      <c r="F66" s="342" t="n"/>
    </row>
    <row r="67" ht="22" customHeight="1" s="127">
      <c r="A67" s="351" t="inlineStr">
        <is>
          <t>Kritische Frage</t>
        </is>
      </c>
      <c r="B67" s="305" t="inlineStr">
        <is>
          <t>Wie wird finanziert? Bankkredit (persönliche Bürgschaft?), Eigenkapital, Förderung?</t>
        </is>
      </c>
      <c r="C67" s="341" t="n"/>
      <c r="D67" s="341" t="n"/>
      <c r="E67" s="341" t="n"/>
      <c r="F67" s="342" t="n"/>
    </row>
    <row r="68" ht="22" customHeight="1" s="127">
      <c r="A68" s="350" t="inlineStr">
        <is>
          <t>Break-Even</t>
        </is>
      </c>
      <c r="B68" s="302" t="inlineStr">
        <is>
          <t>Café-Break-Even typisch 8.000–15.000€ Monatsumsatz bei kleinem Format</t>
        </is>
      </c>
      <c r="C68" s="341" t="n"/>
      <c r="D68" s="341" t="n"/>
      <c r="E68" s="341" t="n"/>
      <c r="F68" s="342" t="n"/>
    </row>
    <row r="69" ht="22" customHeight="1" s="127">
      <c r="A69" s="351" t="inlineStr">
        <is>
          <t>Nächster Schritt</t>
        </is>
      </c>
      <c r="B69" s="305" t="inlineStr">
        <is>
          <t>Businessplan mit Hai · Standortsuche · Finanzierungsgespräch Hausbank</t>
        </is>
      </c>
      <c r="C69" s="341" t="n"/>
      <c r="D69" s="341" t="n"/>
      <c r="E69" s="341" t="n"/>
      <c r="F69" s="342" t="n"/>
    </row>
    <row r="70" ht="22" customHeight="1" s="127">
      <c r="A70" s="350" t="inlineStr">
        <is>
          <t>Risiko</t>
        </is>
      </c>
      <c r="B70" s="302" t="inlineStr">
        <is>
          <t>Ohne positive Bilanz 2024 keine seriöse Kreditvergabe · Jahresabschluss ZUERST</t>
        </is>
      </c>
      <c r="C70" s="341" t="n"/>
      <c r="D70" s="341" t="n"/>
      <c r="E70" s="341" t="n"/>
      <c r="F70" s="342" t="n"/>
    </row>
    <row r="71">
      <c r="A71" s="299" t="n"/>
      <c r="B71" s="299" t="n"/>
      <c r="C71" s="299" t="n"/>
      <c r="D71" s="299" t="n"/>
      <c r="E71" s="299" t="n"/>
      <c r="F71" s="299" t="n"/>
    </row>
    <row r="72">
      <c r="A72" s="299" t="n"/>
      <c r="B72" s="299" t="n"/>
      <c r="C72" s="299" t="n"/>
      <c r="D72" s="299" t="n"/>
      <c r="E72" s="299" t="n"/>
      <c r="F72" s="299" t="n"/>
    </row>
    <row r="73">
      <c r="A73" s="299" t="n"/>
      <c r="B73" s="299" t="n"/>
      <c r="C73" s="299" t="n"/>
      <c r="D73" s="299" t="n"/>
      <c r="E73" s="299" t="n"/>
      <c r="F73" s="299" t="n"/>
    </row>
    <row r="74">
      <c r="A74" s="299" t="n"/>
      <c r="B74" s="299" t="n"/>
      <c r="C74" s="299" t="n"/>
      <c r="D74" s="299" t="n"/>
      <c r="E74" s="299" t="n"/>
      <c r="F74" s="299" t="n"/>
    </row>
    <row r="75">
      <c r="A75" s="299" t="n"/>
      <c r="B75" s="299" t="n"/>
      <c r="C75" s="299" t="n"/>
      <c r="D75" s="299" t="n"/>
      <c r="E75" s="299" t="n"/>
      <c r="F75" s="299" t="n"/>
    </row>
    <row r="76">
      <c r="A76" s="299" t="n"/>
      <c r="B76" s="299" t="n"/>
      <c r="C76" s="299" t="n"/>
      <c r="D76" s="299" t="n"/>
      <c r="E76" s="299" t="n"/>
      <c r="F76" s="299" t="n"/>
    </row>
    <row r="77">
      <c r="A77" s="299" t="n"/>
      <c r="B77" s="299" t="n"/>
      <c r="C77" s="299" t="n"/>
      <c r="D77" s="299" t="n"/>
      <c r="E77" s="299" t="n"/>
      <c r="F77" s="299" t="n"/>
    </row>
    <row r="78">
      <c r="A78" s="299" t="n"/>
      <c r="B78" s="299" t="n"/>
      <c r="C78" s="299" t="n"/>
      <c r="D78" s="299" t="n"/>
      <c r="E78" s="299" t="n"/>
      <c r="F78" s="299" t="n"/>
    </row>
    <row r="79">
      <c r="A79" s="299" t="n"/>
      <c r="B79" s="299" t="n"/>
      <c r="C79" s="299" t="n"/>
      <c r="D79" s="299" t="n"/>
      <c r="E79" s="299" t="n"/>
      <c r="F79" s="299" t="n"/>
    </row>
    <row r="80">
      <c r="A80" s="299" t="n"/>
      <c r="B80" s="299" t="n"/>
      <c r="C80" s="299" t="n"/>
      <c r="D80" s="299" t="n"/>
      <c r="E80" s="299" t="n"/>
      <c r="F80" s="299" t="n"/>
    </row>
    <row r="81">
      <c r="A81" s="299" t="n"/>
      <c r="B81" s="299" t="n"/>
      <c r="C81" s="299" t="n"/>
      <c r="D81" s="299" t="n"/>
      <c r="E81" s="299" t="n"/>
      <c r="F81" s="299" t="n"/>
    </row>
    <row r="82">
      <c r="A82" s="299" t="n"/>
      <c r="B82" s="299" t="n"/>
      <c r="C82" s="299" t="n"/>
      <c r="D82" s="299" t="n"/>
      <c r="E82" s="299" t="n"/>
      <c r="F82" s="299" t="n"/>
    </row>
    <row r="83">
      <c r="A83" s="299" t="n"/>
      <c r="B83" s="299" t="n"/>
      <c r="C83" s="299" t="n"/>
      <c r="D83" s="299" t="n"/>
      <c r="E83" s="299" t="n"/>
      <c r="F83" s="299" t="n"/>
    </row>
    <row r="84">
      <c r="A84" s="299" t="n"/>
      <c r="B84" s="299" t="n"/>
      <c r="C84" s="299" t="n"/>
      <c r="D84" s="299" t="n"/>
      <c r="E84" s="299" t="n"/>
      <c r="F84" s="299" t="n"/>
    </row>
    <row r="85">
      <c r="A85" s="299" t="n"/>
      <c r="B85" s="299" t="n"/>
      <c r="C85" s="299" t="n"/>
      <c r="D85" s="299" t="n"/>
      <c r="E85" s="299" t="n"/>
      <c r="F85" s="299" t="n"/>
    </row>
  </sheetData>
  <mergeCells count="63">
    <mergeCell ref="A41:F41"/>
    <mergeCell ref="C52:F52"/>
    <mergeCell ref="C61:F61"/>
    <mergeCell ref="C8:F8"/>
    <mergeCell ref="C42:D42"/>
    <mergeCell ref="B66:F66"/>
    <mergeCell ref="C7:F7"/>
    <mergeCell ref="C45:D45"/>
    <mergeCell ref="D17:F17"/>
    <mergeCell ref="C32:F32"/>
    <mergeCell ref="A26:F26"/>
    <mergeCell ref="C57:F57"/>
    <mergeCell ref="E39:F39"/>
    <mergeCell ref="D16:F16"/>
    <mergeCell ref="C28:F28"/>
    <mergeCell ref="B70:F70"/>
    <mergeCell ref="A2:F2"/>
    <mergeCell ref="C53:F53"/>
    <mergeCell ref="E38:F38"/>
    <mergeCell ref="C47:D47"/>
    <mergeCell ref="C6:F6"/>
    <mergeCell ref="D18:F18"/>
    <mergeCell ref="C30:F30"/>
    <mergeCell ref="C44:D44"/>
    <mergeCell ref="B67:F67"/>
    <mergeCell ref="C33:F33"/>
    <mergeCell ref="A4:F4"/>
    <mergeCell ref="A35:F35"/>
    <mergeCell ref="C24:F24"/>
    <mergeCell ref="C5:F5"/>
    <mergeCell ref="C58:F58"/>
    <mergeCell ref="D15:F15"/>
    <mergeCell ref="C43:D43"/>
    <mergeCell ref="A63:F63"/>
    <mergeCell ref="D14:F14"/>
    <mergeCell ref="C46:D46"/>
    <mergeCell ref="B69:F69"/>
    <mergeCell ref="A13:F13"/>
    <mergeCell ref="D23:F23"/>
    <mergeCell ref="C27:F27"/>
    <mergeCell ref="C29:F29"/>
    <mergeCell ref="C54:F54"/>
    <mergeCell ref="E36:F36"/>
    <mergeCell ref="C10:F10"/>
    <mergeCell ref="C48:D48"/>
    <mergeCell ref="D20:F20"/>
    <mergeCell ref="C55:F55"/>
    <mergeCell ref="B65:F65"/>
    <mergeCell ref="B68:F68"/>
    <mergeCell ref="C9:F9"/>
    <mergeCell ref="D19:F19"/>
    <mergeCell ref="C31:F31"/>
    <mergeCell ref="A51:F51"/>
    <mergeCell ref="C56:F56"/>
    <mergeCell ref="B64:F64"/>
    <mergeCell ref="A1:F1"/>
    <mergeCell ref="D22:F22"/>
    <mergeCell ref="C59:F59"/>
    <mergeCell ref="E37:F37"/>
    <mergeCell ref="C11:F11"/>
    <mergeCell ref="D21:F21"/>
    <mergeCell ref="C60:F60"/>
    <mergeCell ref="C49:D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8" customWidth="1" style="127" min="1" max="1"/>
    <col width="12" customWidth="1" style="127" min="2" max="2"/>
    <col width="12" customWidth="1" style="127" min="3" max="3"/>
    <col width="12" customWidth="1" style="127" min="4" max="4"/>
    <col width="12" customWidth="1" style="127" min="5" max="5"/>
    <col width="12" customWidth="1" style="127" min="6" max="6"/>
    <col width="12" customWidth="1" style="127" min="7" max="7"/>
    <col width="12" customWidth="1" style="127" min="8" max="8"/>
    <col width="12" customWidth="1" style="127" min="9" max="9"/>
    <col width="22" customWidth="1" style="127" min="10" max="10"/>
  </cols>
  <sheetData>
    <row r="1" ht="30" customHeight="1" s="127">
      <c r="A1" s="352" t="inlineStr">
        <is>
          <t>PRIVATE EINKOMMENSTEUERBESCHEIDE — Oleg Kober 2016–2023</t>
        </is>
      </c>
    </row>
    <row r="2" ht="16" customHeight="1" s="127">
      <c r="A2" s="353" t="inlineStr">
        <is>
          <t>Finanzamt Friedrichshain-Kreuzberg (ab 2017) / Prenzlauer Berg (2016) | IdNr: 99 865 103 420 | StNr: 16/073/61618</t>
        </is>
      </c>
    </row>
    <row r="3" ht="40" customHeight="1" s="127">
      <c r="A3" s="354" t="inlineStr">
        <is>
          <t>Position</t>
        </is>
      </c>
      <c r="B3" s="354" t="inlineStr">
        <is>
          <t>2016</t>
        </is>
      </c>
      <c r="C3" s="354" t="inlineStr">
        <is>
          <t>2017</t>
        </is>
      </c>
      <c r="D3" s="354" t="inlineStr">
        <is>
          <t>2018</t>
        </is>
      </c>
      <c r="E3" s="354" t="inlineStr">
        <is>
          <t>2019</t>
        </is>
      </c>
      <c r="F3" s="354" t="inlineStr">
        <is>
          <t>2020</t>
        </is>
      </c>
      <c r="G3" s="354" t="inlineStr">
        <is>
          <t>2021</t>
        </is>
      </c>
      <c r="H3" s="354" t="inlineStr">
        <is>
          <t>2022</t>
        </is>
      </c>
      <c r="I3" s="354" t="inlineStr">
        <is>
          <t>2023</t>
        </is>
      </c>
      <c r="J3" s="354" t="inlineStr">
        <is>
          <t>2024</t>
        </is>
      </c>
    </row>
    <row r="4" ht="20" customHeight="1" s="127">
      <c r="A4" s="355" t="inlineStr">
        <is>
          <t>── EINNAHMEN ──</t>
        </is>
      </c>
      <c r="B4" s="383" t="n"/>
      <c r="C4" s="383" t="n"/>
      <c r="D4" s="383" t="n"/>
      <c r="E4" s="383" t="n"/>
      <c r="F4" s="383" t="n"/>
      <c r="G4" s="383" t="n"/>
      <c r="H4" s="383" t="n"/>
      <c r="I4" s="383" t="n"/>
      <c r="J4" s="384" t="n"/>
    </row>
    <row r="5">
      <c r="A5" s="356" t="inlineStr">
        <is>
          <t>Bruttoarbeitslohn (AN)</t>
        </is>
      </c>
      <c r="B5" s="357" t="n">
        <v>2891</v>
      </c>
      <c r="C5" s="357" t="n">
        <v>3864</v>
      </c>
      <c r="D5" s="357" t="n">
        <v>28000</v>
      </c>
      <c r="E5" s="357" t="n">
        <v>31600</v>
      </c>
      <c r="F5" s="357" t="n">
        <v>32797</v>
      </c>
      <c r="G5" s="357" t="n">
        <v>81271</v>
      </c>
      <c r="H5" s="357" t="n">
        <v>47755</v>
      </c>
      <c r="I5" s="357" t="n">
        <v>61653</v>
      </c>
      <c r="J5" s="358" t="inlineStr">
        <is>
          <t>Nicht erklärt</t>
        </is>
      </c>
    </row>
    <row r="6">
      <c r="A6" s="359" t="inlineStr">
        <is>
          <t>Gewerbeeinkünfte (Einzelunternehmer)</t>
        </is>
      </c>
      <c r="B6" s="360" t="n">
        <v>7844</v>
      </c>
      <c r="C6" s="360" t="n">
        <v>26475</v>
      </c>
      <c r="D6" s="360" t="n">
        <v>0</v>
      </c>
      <c r="E6" s="360" t="n">
        <v>0</v>
      </c>
      <c r="F6" s="360" t="n">
        <v>0</v>
      </c>
      <c r="G6" s="360" t="n">
        <v>0</v>
      </c>
      <c r="H6" s="360" t="n">
        <v>0</v>
      </c>
      <c r="I6" s="360" t="n">
        <v>0</v>
      </c>
      <c r="J6" s="361" t="inlineStr">
        <is>
          <t>—</t>
        </is>
      </c>
    </row>
    <row r="7">
      <c r="A7" s="362" t="inlineStr">
        <is>
          <t>Summe der Einkünfte (brutto)</t>
        </is>
      </c>
      <c r="B7" s="363" t="n">
        <v>9735</v>
      </c>
      <c r="C7" s="363" t="n">
        <v>29339</v>
      </c>
      <c r="D7" s="363" t="n">
        <v>27000</v>
      </c>
      <c r="E7" s="363" t="n">
        <v>30600</v>
      </c>
      <c r="F7" s="363" t="n">
        <v>31309</v>
      </c>
      <c r="G7" s="363" t="n">
        <v>78409</v>
      </c>
      <c r="H7" s="363" t="n">
        <v>46444</v>
      </c>
      <c r="I7" s="363" t="n">
        <v>39101</v>
      </c>
      <c r="J7" s="364" t="inlineStr">
        <is>
          <t>?</t>
        </is>
      </c>
    </row>
    <row r="8">
      <c r="A8" s="365" t="inlineStr">
        <is>
          <t>Zu versteuerndes Einkommen</t>
        </is>
      </c>
      <c r="B8" s="366" t="inlineStr">
        <is>
          <t>~8.000</t>
        </is>
      </c>
      <c r="C8" s="367" t="n">
        <v>29339</v>
      </c>
      <c r="D8" s="367" t="n">
        <v>27000</v>
      </c>
      <c r="E8" s="367" t="n">
        <v>30600</v>
      </c>
      <c r="F8" s="367" t="n">
        <v>23792</v>
      </c>
      <c r="G8" s="366" t="inlineStr">
        <is>
          <t>~70.000</t>
        </is>
      </c>
      <c r="H8" s="366" t="inlineStr">
        <is>
          <t>~40.000</t>
        </is>
      </c>
      <c r="I8" s="366" t="inlineStr">
        <is>
          <t>~33.000</t>
        </is>
      </c>
      <c r="J8" s="368" t="inlineStr">
        <is>
          <t>?</t>
        </is>
      </c>
    </row>
    <row r="9">
      <c r="A9" s="369" t="n"/>
      <c r="B9" s="369" t="n"/>
      <c r="C9" s="369" t="n"/>
      <c r="D9" s="369" t="n"/>
      <c r="E9" s="369" t="n"/>
      <c r="F9" s="369" t="n"/>
      <c r="G9" s="369" t="n"/>
      <c r="H9" s="369" t="n"/>
      <c r="I9" s="369" t="n"/>
      <c r="J9" s="369" t="n"/>
    </row>
    <row r="10" ht="20" customHeight="1" s="127">
      <c r="A10" s="355" t="inlineStr">
        <is>
          <t>── STEUERFESTSETZUNG ──</t>
        </is>
      </c>
      <c r="B10" s="383" t="n"/>
      <c r="C10" s="383" t="n"/>
      <c r="D10" s="383" t="n"/>
      <c r="E10" s="383" t="n"/>
      <c r="F10" s="383" t="n"/>
      <c r="G10" s="383" t="n"/>
      <c r="H10" s="383" t="n"/>
      <c r="I10" s="383" t="n"/>
      <c r="J10" s="384" t="n"/>
    </row>
    <row r="11">
      <c r="A11" s="356" t="inlineStr">
        <is>
          <t>Einkommensteuer festgesetzt</t>
        </is>
      </c>
      <c r="B11" s="357" t="n">
        <v>0</v>
      </c>
      <c r="C11" s="357" t="n">
        <v>3832</v>
      </c>
      <c r="D11" s="357" t="n">
        <v>2647</v>
      </c>
      <c r="E11" s="357" t="n">
        <v>3906</v>
      </c>
      <c r="F11" s="357" t="n">
        <v>3940</v>
      </c>
      <c r="G11" s="357" t="n">
        <v>19041</v>
      </c>
      <c r="H11" s="357" t="n">
        <v>7219</v>
      </c>
      <c r="I11" s="357" t="n">
        <v>10654</v>
      </c>
      <c r="J11" s="358" t="inlineStr">
        <is>
          <t>?</t>
        </is>
      </c>
    </row>
    <row r="12">
      <c r="A12" s="359" t="inlineStr">
        <is>
          <t>Solidaritätszuschlag</t>
        </is>
      </c>
      <c r="B12" s="360" t="n">
        <v>0</v>
      </c>
      <c r="C12" s="360" t="n">
        <v>211</v>
      </c>
      <c r="D12" s="360" t="n">
        <v>146</v>
      </c>
      <c r="E12" s="360" t="n">
        <v>215</v>
      </c>
      <c r="F12" s="360" t="n">
        <v>217</v>
      </c>
      <c r="G12" s="360" t="n">
        <v>248</v>
      </c>
      <c r="H12" s="360" t="n">
        <v>0</v>
      </c>
      <c r="I12" s="360" t="n">
        <v>0</v>
      </c>
      <c r="J12" s="358" t="inlineStr">
        <is>
          <t>?</t>
        </is>
      </c>
    </row>
    <row r="13">
      <c r="A13" s="356" t="inlineStr">
        <is>
          <t>ab Steuerabzug (Lohnsteuer)</t>
        </is>
      </c>
      <c r="B13" s="357" t="n">
        <v>-267</v>
      </c>
      <c r="C13" s="357" t="n">
        <v>-565</v>
      </c>
      <c r="D13" s="357" t="n">
        <v>-3559</v>
      </c>
      <c r="E13" s="357" t="n">
        <v>-3905</v>
      </c>
      <c r="F13" s="357" t="n">
        <v>-4140</v>
      </c>
      <c r="G13" s="357" t="n">
        <v>-19597</v>
      </c>
      <c r="H13" s="357" t="n">
        <v>-7442</v>
      </c>
      <c r="I13" s="357" t="n">
        <v>-12142</v>
      </c>
      <c r="J13" s="358" t="inlineStr">
        <is>
          <t>?</t>
        </is>
      </c>
    </row>
    <row r="14">
      <c r="A14" s="369" t="n"/>
      <c r="B14" s="369" t="n"/>
      <c r="C14" s="369" t="n"/>
      <c r="D14" s="369" t="n"/>
      <c r="E14" s="369" t="n"/>
      <c r="F14" s="369" t="n"/>
      <c r="G14" s="369" t="n"/>
      <c r="H14" s="369" t="n"/>
      <c r="I14" s="369" t="n"/>
      <c r="J14" s="369" t="n"/>
    </row>
    <row r="15" ht="20" customHeight="1" s="127">
      <c r="A15" s="355" t="inlineStr">
        <is>
          <t>── ERGEBNIS ──</t>
        </is>
      </c>
      <c r="B15" s="383" t="n"/>
      <c r="C15" s="383" t="n"/>
      <c r="D15" s="383" t="n"/>
      <c r="E15" s="383" t="n"/>
      <c r="F15" s="383" t="n"/>
      <c r="G15" s="383" t="n"/>
      <c r="H15" s="383" t="n"/>
      <c r="I15" s="383" t="n"/>
      <c r="J15" s="384" t="n"/>
    </row>
    <row r="16">
      <c r="A16" s="370" t="inlineStr">
        <is>
          <t>Erstattung (-) / Nachzahlung (+)</t>
        </is>
      </c>
      <c r="B16" s="371" t="n">
        <v>-267</v>
      </c>
      <c r="C16" s="372" t="n">
        <v>1223</v>
      </c>
      <c r="D16" s="371" t="n">
        <v>-912</v>
      </c>
      <c r="E16" s="372" t="n">
        <v>1</v>
      </c>
      <c r="F16" s="371" t="n">
        <v>-199</v>
      </c>
      <c r="G16" s="371" t="n">
        <v>-556</v>
      </c>
      <c r="H16" s="371" t="n">
        <v>-223</v>
      </c>
      <c r="I16" s="371" t="n">
        <v>-1488</v>
      </c>
      <c r="J16" s="373" t="inlineStr">
        <is>
          <t>FEHLT</t>
        </is>
      </c>
    </row>
    <row r="17">
      <c r="A17" s="356" t="inlineStr">
        <is>
          <t>Erstattung Soli</t>
        </is>
      </c>
      <c r="B17" s="374" t="n">
        <v>-13</v>
      </c>
      <c r="C17" s="375" t="n">
        <v>70</v>
      </c>
      <c r="D17" s="374" t="n">
        <v>-50</v>
      </c>
      <c r="E17" s="357" t="n">
        <v>0</v>
      </c>
      <c r="F17" s="374" t="n">
        <v>-11</v>
      </c>
      <c r="G17" s="374" t="n">
        <v>-66</v>
      </c>
      <c r="H17" s="357" t="n">
        <v>0</v>
      </c>
      <c r="I17" s="357" t="n">
        <v>0</v>
      </c>
      <c r="J17" s="373" t="inlineStr">
        <is>
          <t>FEHLT</t>
        </is>
      </c>
    </row>
    <row r="18">
      <c r="A18" s="369" t="n"/>
      <c r="B18" s="369" t="n"/>
      <c r="C18" s="369" t="n"/>
      <c r="D18" s="369" t="n"/>
      <c r="E18" s="369" t="n"/>
      <c r="F18" s="369" t="n"/>
      <c r="G18" s="369" t="n"/>
      <c r="H18" s="369" t="n"/>
      <c r="I18" s="369" t="n"/>
      <c r="J18" s="369" t="n"/>
    </row>
    <row r="19" ht="20" customHeight="1" s="127">
      <c r="A19" s="355" t="inlineStr">
        <is>
          <t>── INFOS ──</t>
        </is>
      </c>
      <c r="B19" s="383" t="n"/>
      <c r="C19" s="383" t="n"/>
      <c r="D19" s="383" t="n"/>
      <c r="E19" s="383" t="n"/>
      <c r="F19" s="383" t="n"/>
      <c r="G19" s="383" t="n"/>
      <c r="H19" s="383" t="n"/>
      <c r="I19" s="383" t="n"/>
      <c r="J19" s="384" t="n"/>
    </row>
    <row r="20">
      <c r="A20" s="376" t="inlineStr">
        <is>
          <t>Bescheid-Datum</t>
        </is>
      </c>
      <c r="B20" s="377" t="inlineStr">
        <is>
          <t>22.05.2017</t>
        </is>
      </c>
      <c r="C20" s="377" t="inlineStr">
        <is>
          <t>24.08.2018</t>
        </is>
      </c>
      <c r="D20" s="377" t="inlineStr">
        <is>
          <t>14.07.2025</t>
        </is>
      </c>
      <c r="E20" s="377" t="inlineStr">
        <is>
          <t>05.05.2020</t>
        </is>
      </c>
      <c r="F20" s="377" t="inlineStr">
        <is>
          <t>10.06.2021</t>
        </is>
      </c>
      <c r="G20" s="377" t="inlineStr">
        <is>
          <t>14.06.2022</t>
        </is>
      </c>
      <c r="H20" s="377" t="inlineStr">
        <is>
          <t>22.06.2023</t>
        </is>
      </c>
      <c r="I20" s="377" t="inlineStr">
        <is>
          <t>27.03.2024</t>
        </is>
      </c>
      <c r="J20" s="378" t="inlineStr">
        <is>
          <t>—</t>
        </is>
      </c>
    </row>
    <row r="21">
      <c r="A21" s="379" t="inlineStr">
        <is>
          <t>Bescheid-Status</t>
        </is>
      </c>
      <c r="B21" s="380" t="inlineStr">
        <is>
          <t>Vorläufig</t>
        </is>
      </c>
      <c r="C21" s="380" t="inlineStr">
        <is>
          <t>Vorläufig</t>
        </is>
      </c>
      <c r="D21" s="380" t="inlineStr">
        <is>
          <t>Geändert, endgültig §172</t>
        </is>
      </c>
      <c r="E21" s="380" t="inlineStr">
        <is>
          <t>Vorläufig</t>
        </is>
      </c>
      <c r="F21" s="380" t="inlineStr">
        <is>
          <t>Vorläufig</t>
        </is>
      </c>
      <c r="G21" s="380" t="inlineStr">
        <is>
          <t>Vorläufig</t>
        </is>
      </c>
      <c r="H21" s="380" t="inlineStr">
        <is>
          <t>Geändert §172</t>
        </is>
      </c>
      <c r="I21" s="380" t="inlineStr">
        <is>
          <t>Vorläufig</t>
        </is>
      </c>
      <c r="J21" s="373" t="inlineStr">
        <is>
          <t>FEHLT</t>
        </is>
      </c>
    </row>
    <row r="22">
      <c r="A22" s="376" t="inlineStr">
        <is>
          <t>Finanzamt</t>
        </is>
      </c>
      <c r="B22" s="377" t="inlineStr">
        <is>
          <t>Prenzlauer Bg.</t>
        </is>
      </c>
      <c r="C22" s="377" t="inlineStr">
        <is>
          <t>FHain-Kreuzberg</t>
        </is>
      </c>
      <c r="D22" s="377" t="inlineStr">
        <is>
          <t>FHain-Kreuzberg</t>
        </is>
      </c>
      <c r="E22" s="377" t="inlineStr">
        <is>
          <t>FHain-Kreuzberg</t>
        </is>
      </c>
      <c r="F22" s="377" t="inlineStr">
        <is>
          <t>FHain-Kreuzberg</t>
        </is>
      </c>
      <c r="G22" s="377" t="inlineStr">
        <is>
          <t>FHain-Kreuzberg</t>
        </is>
      </c>
      <c r="H22" s="377" t="inlineStr">
        <is>
          <t>FHain-Kreuzberg</t>
        </is>
      </c>
      <c r="I22" s="377" t="inlineStr">
        <is>
          <t>FHain-Kreuzberg</t>
        </is>
      </c>
      <c r="J22" s="378" t="inlineStr">
        <is>
          <t>—</t>
        </is>
      </c>
    </row>
    <row r="23">
      <c r="A23" s="379" t="inlineStr">
        <is>
          <t>Besonderheiten</t>
        </is>
      </c>
      <c r="B23" s="380" t="inlineStr">
        <is>
          <t>Gewerbe: Selbständigkeit</t>
        </is>
      </c>
      <c r="C23" s="380" t="inlineStr">
        <is>
          <t>Gewerbe hoch: 26.475 EUR</t>
        </is>
      </c>
      <c r="D23" s="380" t="inlineStr">
        <is>
          <t>Einspruch → endgültig 2025; Säumnisz. 46,50 EUR</t>
        </is>
      </c>
      <c r="E23" s="380" t="inlineStr">
        <is>
          <t>—</t>
        </is>
      </c>
      <c r="F23" s="380" t="inlineStr">
        <is>
          <t>Viele Sonderausgaben -7.500 EUR</t>
        </is>
      </c>
      <c r="G23" s="380" t="inlineStr">
        <is>
          <t>HÖCHSTEINKOMMEN: 81.271 EUR!</t>
        </is>
      </c>
      <c r="H23" s="380" t="inlineStr">
        <is>
          <t>Änderungsbescheid; Soli=0</t>
        </is>
      </c>
      <c r="I23" s="380" t="inlineStr">
        <is>
          <t>Hohe Werbungskosten -22.552 EUR</t>
        </is>
      </c>
      <c r="J23" s="368" t="inlineStr">
        <is>
          <t>2024 ESt-Erkl. noch ausstehend!</t>
        </is>
      </c>
    </row>
    <row r="24">
      <c r="A24" s="369" t="n"/>
      <c r="B24" s="369" t="n"/>
      <c r="C24" s="369" t="n"/>
      <c r="D24" s="369" t="n"/>
      <c r="E24" s="369" t="n"/>
      <c r="F24" s="369" t="n"/>
      <c r="G24" s="369" t="n"/>
      <c r="H24" s="369" t="n"/>
      <c r="I24" s="369" t="n"/>
      <c r="J24" s="369" t="n"/>
    </row>
    <row r="25">
      <c r="A25" s="381" t="inlineStr">
        <is>
          <t>⚠  2024 FEHLT: Einkommensteuererklärung 2024 (für Doctolib-Einkommen + ggf. Wagglz-Verluste) noch nicht eingereicht/beschieden. Zu erwartende Einnahmen: ~57.000 EUR Brutto (Doctolib) + ALG II Jan. Empfehlung: Baldmöglichst beim Steuerberater in Auftrag geben.</t>
        </is>
      </c>
      <c r="B25" s="383" t="n"/>
      <c r="C25" s="383" t="n"/>
      <c r="D25" s="383" t="n"/>
      <c r="E25" s="383" t="n"/>
      <c r="F25" s="383" t="n"/>
      <c r="G25" s="383" t="n"/>
      <c r="H25" s="383" t="n"/>
      <c r="I25" s="383" t="n"/>
      <c r="J25" s="384" t="n"/>
    </row>
    <row r="26">
      <c r="A26" s="382" t="inlineStr">
        <is>
          <t>ℹ  2021 Spitzenjahr: 81.271 EUR Bruttoarbeitslohn — vermutlich Bonus/Sonderzahlungen. ESt 19.041 EUR (höchster Steuerbetrag). Ab 2022 Rückgang (Jobwechsel?)</t>
        </is>
      </c>
      <c r="B26" s="383" t="n"/>
      <c r="C26" s="383" t="n"/>
      <c r="D26" s="383" t="n"/>
      <c r="E26" s="383" t="n"/>
      <c r="F26" s="383" t="n"/>
      <c r="G26" s="383" t="n"/>
      <c r="H26" s="383" t="n"/>
      <c r="I26" s="383" t="n"/>
      <c r="J26" s="384" t="n"/>
    </row>
    <row r="27">
      <c r="A27" s="382" t="inlineStr">
        <is>
          <t>ℹ  2018 Einspruch: Bescheid final am 14.07.2025 — nach Einspruch geändert. Säumniszuschlag 46,50 EUR war fällig (lt. Oleg bezahlt).</t>
        </is>
      </c>
      <c r="B27" s="383" t="n"/>
      <c r="C27" s="383" t="n"/>
      <c r="D27" s="383" t="n"/>
      <c r="E27" s="383" t="n"/>
      <c r="F27" s="383" t="n"/>
      <c r="G27" s="383" t="n"/>
      <c r="H27" s="383" t="n"/>
      <c r="I27" s="383" t="n"/>
      <c r="J27" s="384" t="n"/>
    </row>
    <row r="28"/>
    <row r="29">
      <c r="A29" s="385" t="inlineStr">
        <is>
          <t>BESCHÄFTIGUNGSVERLAUF (korrigiert)</t>
        </is>
      </c>
    </row>
    <row r="30" ht="18" customHeight="1" s="127">
      <c r="A30" s="386" t="inlineStr">
        <is>
          <t>2023</t>
        </is>
      </c>
      <c r="B30" s="386" t="inlineStr">
        <is>
          <t>Bisheriger Arbeitgeber</t>
        </is>
      </c>
      <c r="F30" s="387" t="inlineStr">
        <is>
          <t>61.653€ Bruttolohn (Bescheid liegt vor)</t>
        </is>
      </c>
    </row>
    <row r="31" ht="18" customHeight="1" s="127">
      <c r="A31" s="388" t="inlineStr">
        <is>
          <t>2024</t>
        </is>
      </c>
      <c r="B31" s="396" t="inlineStr">
        <is>
          <t>Arbeitslos (6 Mon.) + Gründerzuschuss (6 Mon.)</t>
        </is>
      </c>
      <c r="F31" s="397" t="inlineStr">
        <is>
          <t>ALG I + Gründerzuschuss → steuerfrei aber Progressionsvorbehalt §32b EStG. Zu verst. EK = 0€ → ESt = 0€. ABER: Abgabepflicht wegen §46 EStG! §17 EStG Wagglz-Verlust noch NICHT abzugsfähig (GmbH noch aktiv).</t>
        </is>
      </c>
    </row>
    <row r="32" ht="18" customHeight="1" s="127">
      <c r="A32" s="390" t="inlineStr">
        <is>
          <t>2025 Jan–Jul</t>
        </is>
      </c>
      <c r="B32" s="390" t="inlineStr">
        <is>
          <t>Übergang / Lücke?</t>
        </is>
      </c>
      <c r="F32" s="391" t="inlineStr">
        <is>
          <t>Zu klären — ALG I, andere Stelle?</t>
        </is>
      </c>
    </row>
    <row r="33" ht="18" customHeight="1" s="127">
      <c r="A33" s="392" t="inlineStr">
        <is>
          <t>2025 Jul–Nov</t>
        </is>
      </c>
      <c r="B33" s="392" t="inlineStr">
        <is>
          <t>Water IT GmbH (5 Monate)</t>
        </is>
      </c>
      <c r="F33" s="393" t="inlineStr">
        <is>
          <t>Arbeitnehmer; Lohnsteuer wird abgeführt</t>
        </is>
      </c>
    </row>
    <row r="34" ht="18" customHeight="1" s="127">
      <c r="A34" s="392" t="inlineStr">
        <is>
          <t>2025 Dezember</t>
        </is>
      </c>
      <c r="B34" s="392" t="inlineStr">
        <is>
          <t>Weiterbildung</t>
        </is>
      </c>
      <c r="F34" s="393" t="inlineStr">
        <is>
          <t>Bildungsgutschein / Eigenmittel → kein steuerpflichtiges Einkommen</t>
        </is>
      </c>
    </row>
    <row r="35" ht="18" customHeight="1" s="127">
      <c r="A35" s="386" t="inlineStr">
        <is>
          <t>2026 ab 01.01.</t>
        </is>
      </c>
      <c r="B35" s="386" t="inlineStr">
        <is>
          <t>Doctolib SE / GmbH</t>
        </is>
      </c>
      <c r="F35" s="387" t="inlineStr">
        <is>
          <t>Aktueller Arbeitgeber; Lohn läuft</t>
        </is>
      </c>
    </row>
    <row r="36"/>
    <row r="37" ht="30" customHeight="1" s="127">
      <c r="A37" s="394" t="inlineStr">
        <is>
          <t>⚠  §17 EStG Wagglz-Verlust (bis 25.138€) muss gegen 2024er Einkommen geltend gemacht werden — Steuererklärung 2024 ist daher besonders wertvoll. Mit Steuerberater abstimmen!</t>
        </is>
      </c>
    </row>
    <row r="38" ht="30" customHeight="1" s="127">
      <c r="A38" s="395" t="inlineStr">
        <is>
          <t>⚠  2025 ESt-Erklärung: Water IT (5 Monate Lohnsteuer) + Weiterbildung (Werbungskosten?) + Wagglz-Verlustvorträge (KSt 39.996€ nicht privat abzugsfähig) — ebenfalls beim STB beauftragen.</t>
        </is>
      </c>
    </row>
    <row r="39" ht="35" customHeight="1" s="127">
      <c r="A39" s="398" t="inlineStr">
        <is>
          <t>§17 EStG TIMING: Wagglz-Verlust (bis 25.138€) wird erst im Jahr der GmbH-Auflösung/Insolvenz realisierbar — NICHT rückwirkend für 2024. Planungsziel: Verlustjahr mit möglichst hohem anderen Einkommen kombinieren (z.B. Doctolib-Jahr 2026/2027).</t>
        </is>
      </c>
    </row>
  </sheetData>
  <mergeCells count="25">
    <mergeCell ref="F34:J34"/>
    <mergeCell ref="B30:E30"/>
    <mergeCell ref="A29:J29"/>
    <mergeCell ref="A4:J4"/>
    <mergeCell ref="B33:E33"/>
    <mergeCell ref="A38:J38"/>
    <mergeCell ref="A10:J10"/>
    <mergeCell ref="A19:J19"/>
    <mergeCell ref="B32:E32"/>
    <mergeCell ref="F30:J30"/>
    <mergeCell ref="B35:E35"/>
    <mergeCell ref="A39:J39"/>
    <mergeCell ref="A15:J15"/>
    <mergeCell ref="F33:J33"/>
    <mergeCell ref="F35:J35"/>
    <mergeCell ref="F32:J32"/>
    <mergeCell ref="B31:E31"/>
    <mergeCell ref="A1:J1"/>
    <mergeCell ref="F31:J31"/>
    <mergeCell ref="A25:J25"/>
    <mergeCell ref="A37:J37"/>
    <mergeCell ref="A27:J27"/>
    <mergeCell ref="A26:J26"/>
    <mergeCell ref="A2:J2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2026-06-11T10:12:31Z</dcterms:created>
  <dcterms:modified xmlns:dcterms="http://purl.org/dc/terms/" xmlns:xsi="http://www.w3.org/2001/XMLSchema-instance" xsi:type="dcterms:W3CDTF">2026-06-12T14:14:19Z</dcterms:modified>
  <cp:revision>5</cp:revision>
</cp:coreProperties>
</file>